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 Mahekkumar\OneDrive\Desktop\"/>
    </mc:Choice>
  </mc:AlternateContent>
  <xr:revisionPtr revIDLastSave="0" documentId="13_ncr:1_{02ECD26E-4A26-40CB-8203-9F8E1A24822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put" sheetId="13" r:id="rId1"/>
    <sheet name="Input Sheet" sheetId="14" r:id="rId2"/>
    <sheet name="Teaser" sheetId="12" r:id="rId3"/>
    <sheet name="Data&gt;" sheetId="7" r:id="rId4"/>
    <sheet name="Data Sheet" sheetId="6" r:id="rId5"/>
    <sheet name="Balance Sheet" sheetId="2" r:id="rId6"/>
    <sheet name="Profit &amp; Loss" sheetId="1" r:id="rId7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2" l="1"/>
  <c r="F55" i="12"/>
  <c r="F56" i="12"/>
  <c r="F57" i="12"/>
  <c r="F58" i="12"/>
  <c r="F59" i="12"/>
  <c r="F54" i="12"/>
  <c r="C55" i="12"/>
  <c r="C56" i="12"/>
  <c r="C57" i="12"/>
  <c r="C58" i="12"/>
  <c r="C59" i="12"/>
  <c r="C54" i="12"/>
  <c r="B59" i="12"/>
  <c r="B58" i="12"/>
  <c r="B55" i="12"/>
  <c r="B56" i="12"/>
  <c r="B57" i="12"/>
  <c r="B54" i="12"/>
  <c r="F52" i="12"/>
  <c r="C52" i="12"/>
  <c r="B52" i="12"/>
  <c r="W245" i="14"/>
  <c r="L47" i="12"/>
  <c r="L46" i="12"/>
  <c r="L44" i="12"/>
  <c r="L43" i="12"/>
  <c r="G30" i="14"/>
  <c r="C30" i="12"/>
  <c r="F39" i="12"/>
  <c r="F30" i="12"/>
  <c r="E31" i="12"/>
  <c r="E32" i="12"/>
  <c r="E33" i="12"/>
  <c r="E34" i="12"/>
  <c r="E35" i="12"/>
  <c r="E36" i="12"/>
  <c r="E37" i="12"/>
  <c r="E38" i="12"/>
  <c r="E39" i="12"/>
  <c r="E30" i="12"/>
  <c r="C31" i="12"/>
  <c r="C32" i="12"/>
  <c r="C33" i="12"/>
  <c r="C34" i="12"/>
  <c r="C35" i="12"/>
  <c r="C36" i="12"/>
  <c r="C37" i="12"/>
  <c r="C38" i="12"/>
  <c r="C39" i="12"/>
  <c r="F28" i="12"/>
  <c r="E28" i="12"/>
  <c r="C28" i="12"/>
  <c r="I18" i="14"/>
  <c r="F31" i="12" s="1"/>
  <c r="I19" i="14"/>
  <c r="F32" i="12" s="1"/>
  <c r="I20" i="14"/>
  <c r="F33" i="12" s="1"/>
  <c r="I21" i="14"/>
  <c r="F34" i="12" s="1"/>
  <c r="I22" i="14"/>
  <c r="F35" i="12" s="1"/>
  <c r="I23" i="14"/>
  <c r="F36" i="12" s="1"/>
  <c r="I24" i="14"/>
  <c r="F37" i="12" s="1"/>
  <c r="I25" i="14"/>
  <c r="F38" i="12" s="1"/>
  <c r="I26" i="14"/>
  <c r="I17" i="14"/>
  <c r="C26" i="12"/>
  <c r="D26" i="12"/>
  <c r="E26" i="12"/>
  <c r="F26" i="12"/>
  <c r="G26" i="12"/>
  <c r="D25" i="12"/>
  <c r="E25" i="12"/>
  <c r="F25" i="12"/>
  <c r="G25" i="12"/>
  <c r="C25" i="12"/>
  <c r="D24" i="12"/>
  <c r="E24" i="12"/>
  <c r="F24" i="12"/>
  <c r="G24" i="12"/>
  <c r="C24" i="12"/>
  <c r="C23" i="12"/>
  <c r="D23" i="12"/>
  <c r="E23" i="12"/>
  <c r="F23" i="12"/>
  <c r="G23" i="12"/>
  <c r="D22" i="12"/>
  <c r="E22" i="12"/>
  <c r="F22" i="12"/>
  <c r="G22" i="12"/>
  <c r="C22" i="12"/>
  <c r="D21" i="12"/>
  <c r="E21" i="12"/>
  <c r="F21" i="12"/>
  <c r="G21" i="12"/>
  <c r="C21" i="12"/>
  <c r="B26" i="12"/>
  <c r="B25" i="12"/>
  <c r="B21" i="12"/>
  <c r="B23" i="12"/>
  <c r="B22" i="12"/>
  <c r="B51" i="1"/>
  <c r="C51" i="1"/>
  <c r="D51" i="1"/>
  <c r="E51" i="1"/>
  <c r="F51" i="1"/>
  <c r="G51" i="1"/>
  <c r="H51" i="1"/>
  <c r="I51" i="1"/>
  <c r="J51" i="1"/>
  <c r="K51" i="1"/>
  <c r="C26" i="2"/>
  <c r="D26" i="2"/>
  <c r="E26" i="2"/>
  <c r="F26" i="2"/>
  <c r="G26" i="2"/>
  <c r="H26" i="2"/>
  <c r="I26" i="2"/>
  <c r="J26" i="2"/>
  <c r="K26" i="2"/>
  <c r="B26" i="2"/>
  <c r="C49" i="1"/>
  <c r="D49" i="1"/>
  <c r="E49" i="1"/>
  <c r="F49" i="1"/>
  <c r="G49" i="1"/>
  <c r="H49" i="1"/>
  <c r="I49" i="1"/>
  <c r="J49" i="1"/>
  <c r="K49" i="1"/>
  <c r="B49" i="1"/>
  <c r="C48" i="1"/>
  <c r="D48" i="1"/>
  <c r="E48" i="1"/>
  <c r="F48" i="1"/>
  <c r="G48" i="1"/>
  <c r="H48" i="1"/>
  <c r="I48" i="1"/>
  <c r="J48" i="1"/>
  <c r="K48" i="1"/>
  <c r="B48" i="1"/>
  <c r="C46" i="1"/>
  <c r="D46" i="1"/>
  <c r="E46" i="1"/>
  <c r="F46" i="1"/>
  <c r="G46" i="1"/>
  <c r="H46" i="1"/>
  <c r="I46" i="1"/>
  <c r="J46" i="1"/>
  <c r="K46" i="1"/>
  <c r="B46" i="1"/>
  <c r="C45" i="1"/>
  <c r="D45" i="1"/>
  <c r="E45" i="1"/>
  <c r="F45" i="1"/>
  <c r="G45" i="1"/>
  <c r="H45" i="1"/>
  <c r="I45" i="1"/>
  <c r="J45" i="1"/>
  <c r="K45" i="1"/>
  <c r="B45" i="1"/>
  <c r="C44" i="1"/>
  <c r="D44" i="1"/>
  <c r="E44" i="1"/>
  <c r="F44" i="1"/>
  <c r="G44" i="1"/>
  <c r="H44" i="1"/>
  <c r="I44" i="1"/>
  <c r="J44" i="1"/>
  <c r="K44" i="1"/>
  <c r="B44" i="1"/>
  <c r="C43" i="1"/>
  <c r="D43" i="1"/>
  <c r="E43" i="1"/>
  <c r="F43" i="1"/>
  <c r="G43" i="1"/>
  <c r="H43" i="1"/>
  <c r="I43" i="1"/>
  <c r="J43" i="1"/>
  <c r="K43" i="1"/>
  <c r="B43" i="1"/>
  <c r="D17" i="12"/>
  <c r="E17" i="12"/>
  <c r="F17" i="12"/>
  <c r="G17" i="12"/>
  <c r="C17" i="12"/>
  <c r="D16" i="12"/>
  <c r="E16" i="12"/>
  <c r="F16" i="12"/>
  <c r="G16" i="12"/>
  <c r="C16" i="12"/>
  <c r="C41" i="1"/>
  <c r="D41" i="1"/>
  <c r="E41" i="1"/>
  <c r="F41" i="1"/>
  <c r="G41" i="1"/>
  <c r="H41" i="1"/>
  <c r="I41" i="1"/>
  <c r="J41" i="1"/>
  <c r="K41" i="1"/>
  <c r="C40" i="1"/>
  <c r="D40" i="1"/>
  <c r="E40" i="1"/>
  <c r="F40" i="1"/>
  <c r="G40" i="1"/>
  <c r="H40" i="1"/>
  <c r="I40" i="1"/>
  <c r="J40" i="1"/>
  <c r="K40" i="1"/>
  <c r="B40" i="1"/>
  <c r="D15" i="12"/>
  <c r="E15" i="12"/>
  <c r="F15" i="12"/>
  <c r="G15" i="12"/>
  <c r="C15" i="12"/>
  <c r="C14" i="12"/>
  <c r="D14" i="12"/>
  <c r="E14" i="12"/>
  <c r="F14" i="12"/>
  <c r="G14" i="12"/>
  <c r="D38" i="1"/>
  <c r="E38" i="1"/>
  <c r="F38" i="1"/>
  <c r="G38" i="1"/>
  <c r="H38" i="1"/>
  <c r="I38" i="1"/>
  <c r="J38" i="1"/>
  <c r="K38" i="1"/>
  <c r="C38" i="1"/>
  <c r="D13" i="12"/>
  <c r="E13" i="12"/>
  <c r="F13" i="12"/>
  <c r="G13" i="12"/>
  <c r="C13" i="12"/>
  <c r="C36" i="1"/>
  <c r="D36" i="1"/>
  <c r="E36" i="1"/>
  <c r="F36" i="1"/>
  <c r="G36" i="1"/>
  <c r="H36" i="1"/>
  <c r="I36" i="1"/>
  <c r="J36" i="1"/>
  <c r="K36" i="1"/>
  <c r="B36" i="1"/>
  <c r="D12" i="12"/>
  <c r="E12" i="12"/>
  <c r="F12" i="12"/>
  <c r="G12" i="12"/>
  <c r="C12" i="12"/>
  <c r="C34" i="1"/>
  <c r="D34" i="1"/>
  <c r="E34" i="1"/>
  <c r="F34" i="1"/>
  <c r="G34" i="1"/>
  <c r="H34" i="1"/>
  <c r="I34" i="1"/>
  <c r="J34" i="1"/>
  <c r="K34" i="1"/>
  <c r="B34" i="1"/>
  <c r="C29" i="1"/>
  <c r="D29" i="1"/>
  <c r="E29" i="1"/>
  <c r="F29" i="1"/>
  <c r="G29" i="1"/>
  <c r="H29" i="1"/>
  <c r="I29" i="1"/>
  <c r="J29" i="1"/>
  <c r="K29" i="1"/>
  <c r="B29" i="1"/>
  <c r="C4" i="12"/>
  <c r="L45" i="12" l="1"/>
  <c r="L49" i="12" s="1"/>
  <c r="L6" i="1"/>
  <c r="C5" i="1"/>
  <c r="D5" i="1"/>
  <c r="E5" i="1"/>
  <c r="F5" i="1"/>
  <c r="G5" i="1"/>
  <c r="H5" i="1"/>
  <c r="I5" i="1"/>
  <c r="I6" i="1" s="1"/>
  <c r="J5" i="1"/>
  <c r="J6" i="1" s="1"/>
  <c r="K5" i="1"/>
  <c r="K6" i="1" s="1"/>
  <c r="B5" i="1"/>
  <c r="D13" i="1" s="1"/>
  <c r="E13" i="1" s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H16" i="2" s="1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L12" i="1"/>
  <c r="L13" i="1" s="1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G30" i="1" s="1"/>
  <c r="C10" i="12" s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23" i="2" s="1"/>
  <c r="G12" i="1"/>
  <c r="G13" i="1" s="1"/>
  <c r="H12" i="1"/>
  <c r="H13" i="1" s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B6" i="1" s="1"/>
  <c r="A1" i="1"/>
  <c r="A1" i="2" s="1"/>
  <c r="E1" i="6"/>
  <c r="H1" i="1" s="1"/>
  <c r="F16" i="2"/>
  <c r="H23" i="2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C6" i="12" s="1"/>
  <c r="C19" i="12" s="1"/>
  <c r="H3" i="1"/>
  <c r="D6" i="12" s="1"/>
  <c r="D19" i="12" s="1"/>
  <c r="I3" i="1"/>
  <c r="E6" i="12" s="1"/>
  <c r="E19" i="12" s="1"/>
  <c r="J3" i="1"/>
  <c r="F6" i="12" s="1"/>
  <c r="F19" i="12" s="1"/>
  <c r="K3" i="1"/>
  <c r="G6" i="12" s="1"/>
  <c r="G19" i="12" s="1"/>
  <c r="I21" i="2"/>
  <c r="B18" i="2"/>
  <c r="B13" i="2"/>
  <c r="B12" i="2"/>
  <c r="B11" i="2"/>
  <c r="B10" i="2"/>
  <c r="B8" i="2"/>
  <c r="B7" i="2"/>
  <c r="B6" i="2"/>
  <c r="B3" i="2"/>
  <c r="L15" i="1"/>
  <c r="B12" i="1"/>
  <c r="B13" i="1" s="1"/>
  <c r="B11" i="1"/>
  <c r="B10" i="1"/>
  <c r="B9" i="1"/>
  <c r="B8" i="1"/>
  <c r="B3" i="1"/>
  <c r="K20" i="2"/>
  <c r="L4" i="1"/>
  <c r="L23" i="1" s="1"/>
  <c r="H23" i="1"/>
  <c r="K19" i="1" l="1"/>
  <c r="K32" i="1"/>
  <c r="G11" i="12" s="1"/>
  <c r="J19" i="1"/>
  <c r="J32" i="1"/>
  <c r="F11" i="12" s="1"/>
  <c r="I19" i="1"/>
  <c r="I32" i="1"/>
  <c r="E11" i="12" s="1"/>
  <c r="H30" i="1"/>
  <c r="D10" i="12" s="1"/>
  <c r="H27" i="1"/>
  <c r="D9" i="12" s="1"/>
  <c r="D8" i="12"/>
  <c r="B19" i="1"/>
  <c r="B32" i="1"/>
  <c r="F20" i="2"/>
  <c r="F30" i="1"/>
  <c r="F27" i="1"/>
  <c r="D6" i="1"/>
  <c r="D27" i="1"/>
  <c r="E6" i="1"/>
  <c r="E30" i="1"/>
  <c r="E27" i="1"/>
  <c r="C6" i="1"/>
  <c r="C27" i="1"/>
  <c r="L14" i="1"/>
  <c r="L25" i="1" s="1"/>
  <c r="B30" i="1"/>
  <c r="G8" i="12"/>
  <c r="K27" i="1"/>
  <c r="G9" i="12" s="1"/>
  <c r="K30" i="1"/>
  <c r="G10" i="12" s="1"/>
  <c r="B21" i="2"/>
  <c r="E21" i="2"/>
  <c r="G23" i="2"/>
  <c r="F8" i="12"/>
  <c r="J30" i="1"/>
  <c r="F10" i="12" s="1"/>
  <c r="J27" i="1"/>
  <c r="F9" i="12" s="1"/>
  <c r="F13" i="1"/>
  <c r="F14" i="1" s="1"/>
  <c r="C30" i="1"/>
  <c r="G6" i="1"/>
  <c r="C8" i="12"/>
  <c r="G27" i="1"/>
  <c r="C9" i="12" s="1"/>
  <c r="C21" i="2"/>
  <c r="I27" i="1"/>
  <c r="E9" i="12" s="1"/>
  <c r="I30" i="1"/>
  <c r="E10" i="12" s="1"/>
  <c r="E8" i="12"/>
  <c r="D30" i="1"/>
  <c r="L10" i="1"/>
  <c r="M11" i="1" s="1"/>
  <c r="K16" i="2"/>
  <c r="L5" i="1"/>
  <c r="B14" i="1"/>
  <c r="H25" i="1" s="1"/>
  <c r="B23" i="2"/>
  <c r="G14" i="1"/>
  <c r="D20" i="2"/>
  <c r="D21" i="2"/>
  <c r="E1" i="2"/>
  <c r="L11" i="1"/>
  <c r="D14" i="1"/>
  <c r="H21" i="2"/>
  <c r="D23" i="2"/>
  <c r="N11" i="1"/>
  <c r="L19" i="1"/>
  <c r="L24" i="1" s="1"/>
  <c r="L7" i="1"/>
  <c r="D24" i="2"/>
  <c r="K24" i="2"/>
  <c r="I23" i="2"/>
  <c r="J23" i="1"/>
  <c r="E20" i="2"/>
  <c r="H14" i="1"/>
  <c r="J25" i="1" s="1"/>
  <c r="J16" i="2"/>
  <c r="I23" i="1"/>
  <c r="C20" i="2"/>
  <c r="L8" i="1"/>
  <c r="M8" i="1" s="1"/>
  <c r="J24" i="2"/>
  <c r="G20" i="2"/>
  <c r="B20" i="2"/>
  <c r="H24" i="2"/>
  <c r="F24" i="2"/>
  <c r="E24" i="2"/>
  <c r="F21" i="2"/>
  <c r="G21" i="2"/>
  <c r="I14" i="1"/>
  <c r="C24" i="2"/>
  <c r="I24" i="2"/>
  <c r="B16" i="2"/>
  <c r="G24" i="2"/>
  <c r="C23" i="2"/>
  <c r="E14" i="1"/>
  <c r="I25" i="1" s="1"/>
  <c r="K24" i="1"/>
  <c r="L9" i="1"/>
  <c r="M9" i="1" s="1"/>
  <c r="E16" i="2"/>
  <c r="E23" i="2"/>
  <c r="N9" i="1"/>
  <c r="I20" i="2"/>
  <c r="H20" i="2"/>
  <c r="K23" i="1"/>
  <c r="M23" i="1" s="1"/>
  <c r="M4" i="1" s="1"/>
  <c r="H6" i="1"/>
  <c r="F6" i="1"/>
  <c r="N8" i="1" l="1"/>
  <c r="G19" i="1"/>
  <c r="G32" i="1"/>
  <c r="C11" i="12" s="1"/>
  <c r="C19" i="1"/>
  <c r="C32" i="1"/>
  <c r="H19" i="1"/>
  <c r="J24" i="1" s="1"/>
  <c r="H32" i="1"/>
  <c r="D11" i="12" s="1"/>
  <c r="E19" i="1"/>
  <c r="I24" i="1" s="1"/>
  <c r="E32" i="1"/>
  <c r="F19" i="1"/>
  <c r="F32" i="1"/>
  <c r="D19" i="1"/>
  <c r="D32" i="1"/>
  <c r="K25" i="1"/>
  <c r="M25" i="1" s="1"/>
  <c r="M14" i="1" s="1"/>
  <c r="N23" i="1"/>
  <c r="N4" i="1" s="1"/>
  <c r="M24" i="1"/>
  <c r="M6" i="1"/>
  <c r="M10" i="1" s="1"/>
  <c r="M12" i="1" s="1"/>
  <c r="M13" i="1" s="1"/>
  <c r="M15" i="1" s="1"/>
  <c r="N25" i="1" l="1"/>
  <c r="N14" i="1" s="1"/>
  <c r="H24" i="1"/>
  <c r="N24" i="1" s="1"/>
  <c r="N6" i="1" s="1"/>
  <c r="M5" i="1"/>
  <c r="N5" i="1" l="1"/>
  <c r="N10" i="1"/>
  <c r="N12" i="1" s="1"/>
  <c r="N13" i="1" s="1"/>
  <c r="N15" i="1" s="1"/>
</calcChain>
</file>

<file path=xl/sharedStrings.xml><?xml version="1.0" encoding="utf-8"?>
<sst xmlns="http://schemas.openxmlformats.org/spreadsheetml/2006/main" count="217" uniqueCount="167">
  <si>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</si>
  <si>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</si>
  <si>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</si>
  <si>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</si>
  <si>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</si>
  <si>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</si>
  <si>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</si>
  <si>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</si>
  <si>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</si>
  <si>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</si>
  <si>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</si>
  <si>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</si>
  <si>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</si>
  <si>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</si>
  <si>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</si>
  <si>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</si>
  <si>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</si>
  <si>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</si>
  <si>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</si>
  <si>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</si>
  <si>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</si>
  <si>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</si>
  <si>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</si>
  <si>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</si>
  <si>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</si>
  <si>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</si>
  <si>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</si>
  <si>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</si>
  <si>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</si>
  <si>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</si>
  <si>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</si>
  <si>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</si>
  <si>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</si>
  <si>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</si>
  <si>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</si>
  <si>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</si>
  <si>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</si>
  <si>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</si>
  <si>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</si>
  <si>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</si>
  <si>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</si>
  <si>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</si>
  <si>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</si>
  <si>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</si>
  <si>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</si>
  <si>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</si>
  <si>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</si>
  <si>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</si>
  <si>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</si>
  <si>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</si>
  <si>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</si>
  <si>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</si>
  <si>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</si>
  <si>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</si>
  <si>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</si>
  <si>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</si>
  <si>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</si>
  <si>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</si>
  <si>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</si>
  <si>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</si>
  <si>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</si>
  <si>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</si>
  <si>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</si>
  <si>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</si>
  <si>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</si>
  <si>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</si>
  <si>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</si>
  <si>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</si>
  <si>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</si>
  <si>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</si>
  <si>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</si>
  <si>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</si>
  <si>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</si>
  <si>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</si>
  <si>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</si>
  <si>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</si>
  <si>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</si>
  <si>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</si>
  <si>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</si>
  <si>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</si>
  <si>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</si>
  <si>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Gross Profit</t>
  </si>
  <si>
    <t>Company Description</t>
  </si>
  <si>
    <t>INR (Crs.)</t>
  </si>
  <si>
    <t>Total Sales</t>
  </si>
  <si>
    <t>Sales Growth Y-O-Y</t>
  </si>
  <si>
    <t>Gross Profit Margin (%)</t>
  </si>
  <si>
    <t>GPM</t>
  </si>
  <si>
    <t>EBITDA Margin (%)</t>
  </si>
  <si>
    <t>EBIT Margin (%)</t>
  </si>
  <si>
    <t>Net Profit Margin (%)</t>
  </si>
  <si>
    <t>EPS Growth (Y-O-Y)</t>
  </si>
  <si>
    <t>Earnings Per share (In Rs.)</t>
  </si>
  <si>
    <t>Dividend Per share (In Rs.)</t>
  </si>
  <si>
    <t>Dividend Growth (Y-O-Y)</t>
  </si>
  <si>
    <t>Dividend Growth (y-o-y)</t>
  </si>
  <si>
    <t>EPS Growth (y-o-y)</t>
  </si>
  <si>
    <t>Sales Growth (y-o-y)</t>
  </si>
  <si>
    <t xml:space="preserve">ITC Limited is a leading Indian diversified company headquartered in Kolkata, established in 1910. It operates across multiple business segments including FMCG (foods and personal care), cigarettes, hotels, paper &amp; packaging, and agri-business. While a large share of its profits still comes from the cigarette segment, its FMCG division is growing rapidly with popular brands like Aashirvaad and Sunfeast.The company has a strong distribution network across India and focuses on sustainability initiatives. </t>
  </si>
  <si>
    <t>market Capitalization</t>
  </si>
  <si>
    <t>Debt</t>
  </si>
  <si>
    <t>Cash</t>
  </si>
  <si>
    <t>EV</t>
  </si>
  <si>
    <t>Ev/EBITDA</t>
  </si>
  <si>
    <t>EV/Sales</t>
  </si>
  <si>
    <t>P/B</t>
  </si>
  <si>
    <t>Book Value</t>
  </si>
  <si>
    <t>Key Financial Matrics</t>
  </si>
  <si>
    <t>Key Financial Ratios</t>
  </si>
  <si>
    <t>Price to Book Value</t>
  </si>
  <si>
    <t>Shareholder's name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</si>
  <si>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</si>
  <si>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</si>
  <si>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</si>
  <si>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</si>
  <si>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SBI Mutual Funds</t>
  </si>
  <si>
    <t>ICICI Prudential Mutual Funds</t>
  </si>
  <si>
    <t>QIB - Insurance Company Registered</t>
  </si>
  <si>
    <t>GQG Partners Emerging Markets Equity Fund</t>
  </si>
  <si>
    <t>General Insurance Corporation of India</t>
  </si>
  <si>
    <t>NPS Trust (various Pension Funds)</t>
  </si>
  <si>
    <t>Top 10 Shareholders</t>
  </si>
  <si>
    <t>Market Value (In Crs.)</t>
  </si>
  <si>
    <t>No.of Share (In crs.)</t>
  </si>
  <si>
    <t>% Holding</t>
  </si>
  <si>
    <t xml:space="preserve">DIIs </t>
  </si>
  <si>
    <t xml:space="preserve">FIIs </t>
  </si>
  <si>
    <t xml:space="preserve"> Public &amp; Gov.</t>
  </si>
  <si>
    <t>Share Holding Pattern</t>
  </si>
  <si>
    <t>Number of Share O/s</t>
  </si>
  <si>
    <t>Market Capitallization</t>
  </si>
  <si>
    <t>Less: Cash &amp; Equivalents</t>
  </si>
  <si>
    <t>Add: Total Debt</t>
  </si>
  <si>
    <t>Add: Non-controlling Interest</t>
  </si>
  <si>
    <t>Enterprise Value</t>
  </si>
  <si>
    <t>B Sumant</t>
  </si>
  <si>
    <t xml:space="preserve">S Dutta </t>
  </si>
  <si>
    <t xml:space="preserve">H Malik </t>
  </si>
  <si>
    <t>Managerial Remuneration</t>
  </si>
  <si>
    <t xml:space="preserve">S Puri </t>
  </si>
  <si>
    <t>Designation</t>
  </si>
  <si>
    <t>CMD</t>
  </si>
  <si>
    <t>ED &amp; &amp; CEO</t>
  </si>
  <si>
    <t>ED</t>
  </si>
  <si>
    <t>377:1</t>
  </si>
  <si>
    <t>132:1</t>
  </si>
  <si>
    <t>99:1</t>
  </si>
  <si>
    <t>174:1</t>
  </si>
  <si>
    <t>Remuneration</t>
  </si>
  <si>
    <t>X Median of Salary</t>
  </si>
  <si>
    <t>Recent Update</t>
  </si>
  <si>
    <t>DATE</t>
  </si>
  <si>
    <t>CLOSE</t>
  </si>
  <si>
    <t>VOLUME</t>
  </si>
  <si>
    <t>Segment</t>
  </si>
  <si>
    <t>Revenue (₹ Cr)</t>
  </si>
  <si>
    <t>% Contribution</t>
  </si>
  <si>
    <t>Cigarettes</t>
  </si>
  <si>
    <t>FMCG (Non-Cig)</t>
  </si>
  <si>
    <t>Agri Business</t>
  </si>
  <si>
    <t>Paper &amp; Packaging</t>
  </si>
  <si>
    <t>Hotels</t>
  </si>
  <si>
    <t>Share Price - 1years</t>
  </si>
  <si>
    <r>
      <t xml:space="preserve">Volume - 1years </t>
    </r>
    <r>
      <rPr>
        <b/>
        <sz val="11"/>
        <color theme="0"/>
        <rFont val="Calibri"/>
        <family val="2"/>
        <scheme val="minor"/>
      </rPr>
      <t>(In milions)</t>
    </r>
  </si>
  <si>
    <t>Share Price as on 1-4-2026</t>
  </si>
  <si>
    <t>Business Segment Contribution (%)</t>
  </si>
  <si>
    <t>Capital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</si>
</sst>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"/>
    <numFmt numFmtId="167" formatCode="0.00&quot;x&quot;"/>
    <numFmt numFmtId="168" formatCode="#,##0.0"/>
    <numFmt numFmtId="169" formatCode="#,###\);\(#,###\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94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43" fontId="0" fillId="0" borderId="0" xfId="1" applyNumberFormat="1" applyFont="1" applyBorder="1"/>
    <xf numFmtId="0" fontId="0" fillId="6" borderId="0" xfId="0" applyFill="1"/>
    <xf numFmtId="10" fontId="0" fillId="0" borderId="0" xfId="6" applyNumberFormat="1" applyFont="1"/>
    <xf numFmtId="0" fontId="0" fillId="0" borderId="0" xfId="0" applyAlignment="1">
      <alignment horizontal="right"/>
    </xf>
    <xf numFmtId="0" fontId="0" fillId="8" borderId="0" xfId="0" applyFill="1"/>
    <xf numFmtId="0" fontId="0" fillId="0" borderId="0" xfId="0" applyAlignment="1">
      <alignment wrapText="1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0" fillId="0" borderId="1" xfId="0" applyBorder="1"/>
    <xf numFmtId="0" fontId="10" fillId="0" borderId="2" xfId="0" applyFont="1" applyBorder="1"/>
    <xf numFmtId="0" fontId="0" fillId="0" borderId="2" xfId="0" applyBorder="1"/>
    <xf numFmtId="2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7" borderId="0" xfId="0" applyFill="1" applyAlignment="1">
      <alignment horizontal="right" vertical="center" wrapText="1" readingOrder="1"/>
    </xf>
    <xf numFmtId="0" fontId="0" fillId="0" borderId="0" xfId="0" applyAlignment="1">
      <alignment horizontal="left"/>
    </xf>
    <xf numFmtId="0" fontId="8" fillId="8" borderId="0" xfId="0" applyFont="1" applyFill="1"/>
    <xf numFmtId="0" fontId="8" fillId="8" borderId="0" xfId="0" applyFont="1" applyFill="1" applyAlignment="1">
      <alignment horizontal="left"/>
    </xf>
    <xf numFmtId="17" fontId="8" fillId="8" borderId="0" xfId="0" applyNumberFormat="1" applyFont="1" applyFill="1"/>
    <xf numFmtId="17" fontId="8" fillId="8" borderId="0" xfId="0" applyNumberFormat="1" applyFont="1" applyFill="1" applyAlignment="1">
      <alignment horizontal="right"/>
    </xf>
    <xf numFmtId="0" fontId="8" fillId="6" borderId="0" xfId="0" applyFont="1" applyFill="1"/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168" fontId="0" fillId="0" borderId="0" xfId="0" applyNumberFormat="1"/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167" fontId="0" fillId="0" borderId="3" xfId="0" applyNumberFormat="1" applyBorder="1"/>
    <xf numFmtId="0" fontId="0" fillId="0" borderId="3" xfId="0" applyBorder="1"/>
    <xf numFmtId="9" fontId="0" fillId="0" borderId="3" xfId="0" applyNumberFormat="1" applyBorder="1"/>
    <xf numFmtId="10" fontId="0" fillId="0" borderId="3" xfId="6" applyNumberFormat="1" applyFont="1" applyBorder="1" applyAlignment="1">
      <alignment horizontal="right"/>
    </xf>
    <xf numFmtId="0" fontId="0" fillId="0" borderId="3" xfId="0" applyBorder="1" applyAlignment="1">
      <alignment horizontal="left" indent="1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5" xfId="0" applyBorder="1"/>
    <xf numFmtId="169" fontId="0" fillId="0" borderId="5" xfId="0" applyNumberFormat="1" applyBorder="1" applyAlignment="1">
      <alignment horizontal="right"/>
    </xf>
    <xf numFmtId="0" fontId="1" fillId="0" borderId="4" xfId="0" applyFont="1" applyBorder="1"/>
    <xf numFmtId="3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 indent="1"/>
    </xf>
    <xf numFmtId="0" fontId="0" fillId="0" borderId="4" xfId="0" applyBorder="1"/>
    <xf numFmtId="3" fontId="1" fillId="0" borderId="0" xfId="0" applyNumberFormat="1" applyFont="1" applyAlignment="1">
      <alignment horizontal="right"/>
    </xf>
    <xf numFmtId="0" fontId="10" fillId="8" borderId="0" xfId="0" applyFont="1" applyFill="1"/>
    <xf numFmtId="17" fontId="0" fillId="0" borderId="0" xfId="0" applyNumberFormat="1"/>
    <xf numFmtId="1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8" borderId="0" xfId="0" applyFont="1" applyFill="1" applyAlignment="1">
      <alignment horizontal="center"/>
    </xf>
    <xf numFmtId="2" fontId="0" fillId="0" borderId="3" xfId="0" applyNumberFormat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3" xfId="0" quotePrefix="1" applyNumberFormat="1" applyBorder="1" applyAlignment="1">
      <alignment horizontal="center"/>
    </xf>
    <xf numFmtId="166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left" wrapText="1"/>
    </xf>
    <xf numFmtId="0" fontId="8" fillId="8" borderId="0" xfId="0" applyFont="1" applyFill="1" applyAlignment="1">
      <alignment horizontal="right" vertical="center"/>
    </xf>
    <xf numFmtId="0" fontId="9" fillId="8" borderId="0" xfId="0" applyFont="1" applyFill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omma 2" xfId="7" xr:uid="{1171F582-A863-42D2-AA01-40BD24CF99EA}"/>
    <cellStyle name="Hyperlink" xfId="2" builtinId="8"/>
    <cellStyle name="Normal" xfId="0" builtinId="0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F-4663-82C6-4D5442B8203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FF-4663-82C6-4D5442B82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'Input Sheet'!$F$28:$F$30</c:f>
              <c:strCache>
                <c:ptCount val="3"/>
                <c:pt idx="0">
                  <c:v>FIIs </c:v>
                </c:pt>
                <c:pt idx="1">
                  <c:v>DIIs </c:v>
                </c:pt>
                <c:pt idx="2">
                  <c:v> Public &amp; Gov.</c:v>
                </c:pt>
              </c:strCache>
            </c:strRef>
          </c:cat>
          <c:val>
            <c:numRef>
              <c:f>'Input Sheet'!$G$28:$G$30</c:f>
              <c:numCache>
                <c:formatCode>0.00%</c:formatCode>
                <c:ptCount val="3"/>
                <c:pt idx="0">
                  <c:v>0.36109999999999998</c:v>
                </c:pt>
                <c:pt idx="1">
                  <c:v>0.48899999999999999</c:v>
                </c:pt>
                <c:pt idx="2">
                  <c:v>0.14990000000000001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F-4663-82C6-4D5442B8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620351"/>
        <c:axId val="1118620831"/>
      </c:barChart>
      <c:catAx>
        <c:axId val="111862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20831"/>
        <c:crosses val="autoZero"/>
        <c:auto val="1"/>
        <c:lblAlgn val="ctr"/>
        <c:lblOffset val="100"/>
        <c:noMultiLvlLbl val="0"/>
      </c:catAx>
      <c:valAx>
        <c:axId val="111862083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'Input Sheet'!$C$2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'Input Sheet'!$B$3:$B$253</c:f>
              <c:numCache>
                <c:formatCode>d\-mmm\-yy</c:formatCode>
                <c:ptCount val="251"/>
                <c:pt idx="0">
                  <c:v>46113</c:v>
                </c:pt>
                <c:pt idx="1">
                  <c:v>46111</c:v>
                </c:pt>
                <c:pt idx="2">
                  <c:v>46108</c:v>
                </c:pt>
                <c:pt idx="3">
                  <c:v>46106</c:v>
                </c:pt>
                <c:pt idx="4">
                  <c:v>46105</c:v>
                </c:pt>
                <c:pt idx="5">
                  <c:v>46104</c:v>
                </c:pt>
                <c:pt idx="6">
                  <c:v>46101</c:v>
                </c:pt>
                <c:pt idx="7">
                  <c:v>46100</c:v>
                </c:pt>
                <c:pt idx="8">
                  <c:v>46099</c:v>
                </c:pt>
                <c:pt idx="9">
                  <c:v>46098</c:v>
                </c:pt>
                <c:pt idx="10">
                  <c:v>46097</c:v>
                </c:pt>
                <c:pt idx="11">
                  <c:v>46094</c:v>
                </c:pt>
                <c:pt idx="12">
                  <c:v>46093</c:v>
                </c:pt>
                <c:pt idx="13">
                  <c:v>46092</c:v>
                </c:pt>
                <c:pt idx="14">
                  <c:v>46091</c:v>
                </c:pt>
                <c:pt idx="15">
                  <c:v>46090</c:v>
                </c:pt>
                <c:pt idx="16">
                  <c:v>46087</c:v>
                </c:pt>
                <c:pt idx="17">
                  <c:v>46086</c:v>
                </c:pt>
                <c:pt idx="18">
                  <c:v>46085</c:v>
                </c:pt>
                <c:pt idx="19">
                  <c:v>46083</c:v>
                </c:pt>
                <c:pt idx="20">
                  <c:v>46080</c:v>
                </c:pt>
                <c:pt idx="21">
                  <c:v>46079</c:v>
                </c:pt>
                <c:pt idx="22">
                  <c:v>46078</c:v>
                </c:pt>
                <c:pt idx="23">
                  <c:v>46077</c:v>
                </c:pt>
                <c:pt idx="24">
                  <c:v>46076</c:v>
                </c:pt>
                <c:pt idx="25">
                  <c:v>46073</c:v>
                </c:pt>
                <c:pt idx="26">
                  <c:v>46072</c:v>
                </c:pt>
                <c:pt idx="27">
                  <c:v>46071</c:v>
                </c:pt>
                <c:pt idx="28">
                  <c:v>46070</c:v>
                </c:pt>
                <c:pt idx="29">
                  <c:v>46069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46054</c:v>
                </c:pt>
                <c:pt idx="41">
                  <c:v>46052</c:v>
                </c:pt>
                <c:pt idx="42">
                  <c:v>46051</c:v>
                </c:pt>
                <c:pt idx="43">
                  <c:v>46050</c:v>
                </c:pt>
                <c:pt idx="44">
                  <c:v>46049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46036</c:v>
                </c:pt>
                <c:pt idx="52">
                  <c:v>46035</c:v>
                </c:pt>
                <c:pt idx="53">
                  <c:v>46034</c:v>
                </c:pt>
                <c:pt idx="54">
                  <c:v>46031</c:v>
                </c:pt>
                <c:pt idx="55">
                  <c:v>46030</c:v>
                </c:pt>
                <c:pt idx="56">
                  <c:v>46029</c:v>
                </c:pt>
                <c:pt idx="57">
                  <c:v>46028</c:v>
                </c:pt>
                <c:pt idx="58">
                  <c:v>46027</c:v>
                </c:pt>
                <c:pt idx="59">
                  <c:v>46024</c:v>
                </c:pt>
                <c:pt idx="60">
                  <c:v>46023</c:v>
                </c:pt>
                <c:pt idx="61">
                  <c:v>46022</c:v>
                </c:pt>
                <c:pt idx="62">
                  <c:v>46021</c:v>
                </c:pt>
                <c:pt idx="63">
                  <c:v>46020</c:v>
                </c:pt>
                <c:pt idx="64">
                  <c:v>46017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45979</c:v>
                </c:pt>
                <c:pt idx="93">
                  <c:v>45978</c:v>
                </c:pt>
                <c:pt idx="94">
                  <c:v>45975</c:v>
                </c:pt>
                <c:pt idx="95">
                  <c:v>45974</c:v>
                </c:pt>
                <c:pt idx="96">
                  <c:v>45973</c:v>
                </c:pt>
                <c:pt idx="97">
                  <c:v>45972</c:v>
                </c:pt>
                <c:pt idx="98">
                  <c:v>45971</c:v>
                </c:pt>
                <c:pt idx="99">
                  <c:v>45968</c:v>
                </c:pt>
                <c:pt idx="100">
                  <c:v>45967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45951</c:v>
                </c:pt>
                <c:pt idx="111">
                  <c:v>45950</c:v>
                </c:pt>
                <c:pt idx="112">
                  <c:v>45947</c:v>
                </c:pt>
                <c:pt idx="113">
                  <c:v>45946</c:v>
                </c:pt>
                <c:pt idx="114">
                  <c:v>45945</c:v>
                </c:pt>
                <c:pt idx="115">
                  <c:v>45944</c:v>
                </c:pt>
                <c:pt idx="116">
                  <c:v>45943</c:v>
                </c:pt>
                <c:pt idx="117">
                  <c:v>45940</c:v>
                </c:pt>
                <c:pt idx="118">
                  <c:v>45939</c:v>
                </c:pt>
                <c:pt idx="119">
                  <c:v>45938</c:v>
                </c:pt>
                <c:pt idx="120">
                  <c:v>45937</c:v>
                </c:pt>
                <c:pt idx="121">
                  <c:v>45936</c:v>
                </c:pt>
                <c:pt idx="122">
                  <c:v>45933</c:v>
                </c:pt>
                <c:pt idx="123">
                  <c:v>45931</c:v>
                </c:pt>
                <c:pt idx="124">
                  <c:v>45930</c:v>
                </c:pt>
                <c:pt idx="125">
                  <c:v>45929</c:v>
                </c:pt>
                <c:pt idx="126">
                  <c:v>45926</c:v>
                </c:pt>
                <c:pt idx="127">
                  <c:v>45925</c:v>
                </c:pt>
                <c:pt idx="128">
                  <c:v>45924</c:v>
                </c:pt>
                <c:pt idx="129">
                  <c:v>45923</c:v>
                </c:pt>
                <c:pt idx="130">
                  <c:v>45922</c:v>
                </c:pt>
                <c:pt idx="131">
                  <c:v>45919</c:v>
                </c:pt>
                <c:pt idx="132">
                  <c:v>45918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45916</c:v>
                </c:pt>
                <c:pt idx="137">
                  <c:v>45915</c:v>
                </c:pt>
                <c:pt idx="138">
                  <c:v>45912</c:v>
                </c:pt>
                <c:pt idx="139">
                  <c:v>45911</c:v>
                </c:pt>
                <c:pt idx="140">
                  <c:v>45910</c:v>
                </c:pt>
                <c:pt idx="141">
                  <c:v>45909</c:v>
                </c:pt>
                <c:pt idx="142">
                  <c:v>45908</c:v>
                </c:pt>
                <c:pt idx="143">
                  <c:v>45905</c:v>
                </c:pt>
                <c:pt idx="144">
                  <c:v>45904</c:v>
                </c:pt>
                <c:pt idx="145">
                  <c:v>45903</c:v>
                </c:pt>
                <c:pt idx="146">
                  <c:v>45902</c:v>
                </c:pt>
                <c:pt idx="147">
                  <c:v>45901</c:v>
                </c:pt>
                <c:pt idx="148">
                  <c:v>45898</c:v>
                </c:pt>
                <c:pt idx="149">
                  <c:v>45897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45814</c:v>
                </c:pt>
                <c:pt idx="207">
                  <c:v>45813</c:v>
                </c:pt>
                <c:pt idx="208">
                  <c:v>45812</c:v>
                </c:pt>
                <c:pt idx="209">
                  <c:v>45811</c:v>
                </c:pt>
                <c:pt idx="210">
                  <c:v>45810</c:v>
                </c:pt>
                <c:pt idx="211">
                  <c:v>45807</c:v>
                </c:pt>
                <c:pt idx="212">
                  <c:v>45806</c:v>
                </c:pt>
                <c:pt idx="213">
                  <c:v>45805</c:v>
                </c:pt>
                <c:pt idx="214">
                  <c:v>45804</c:v>
                </c:pt>
                <c:pt idx="215">
                  <c:v>45803</c:v>
                </c:pt>
                <c:pt idx="216">
                  <c:v>45800</c:v>
                </c:pt>
                <c:pt idx="217">
                  <c:v>45799</c:v>
                </c:pt>
                <c:pt idx="218">
                  <c:v>45798</c:v>
                </c:pt>
                <c:pt idx="219">
                  <c:v>45797</c:v>
                </c:pt>
                <c:pt idx="220">
                  <c:v>45796</c:v>
                </c:pt>
                <c:pt idx="221">
                  <c:v>45793</c:v>
                </c:pt>
                <c:pt idx="222">
                  <c:v>45792</c:v>
                </c:pt>
                <c:pt idx="223">
                  <c:v>45791</c:v>
                </c:pt>
                <c:pt idx="224">
                  <c:v>45790</c:v>
                </c:pt>
                <c:pt idx="225">
                  <c:v>45789</c:v>
                </c:pt>
                <c:pt idx="226">
                  <c:v>45786</c:v>
                </c:pt>
                <c:pt idx="227">
                  <c:v>45785</c:v>
                </c:pt>
                <c:pt idx="228">
                  <c:v>45784</c:v>
                </c:pt>
                <c:pt idx="229">
                  <c:v>45783</c:v>
                </c:pt>
                <c:pt idx="230">
                  <c:v>45782</c:v>
                </c:pt>
                <c:pt idx="231">
                  <c:v>45779</c:v>
                </c:pt>
                <c:pt idx="232">
                  <c:v>45777</c:v>
                </c:pt>
                <c:pt idx="233">
                  <c:v>45776</c:v>
                </c:pt>
                <c:pt idx="234">
                  <c:v>45775</c:v>
                </c:pt>
                <c:pt idx="235">
                  <c:v>45772</c:v>
                </c:pt>
                <c:pt idx="236">
                  <c:v>45771</c:v>
                </c:pt>
                <c:pt idx="237">
                  <c:v>45770</c:v>
                </c:pt>
                <c:pt idx="238">
                  <c:v>45769</c:v>
                </c:pt>
                <c:pt idx="239">
                  <c:v>45768</c:v>
                </c:pt>
                <c:pt idx="240">
                  <c:v>45764</c:v>
                </c:pt>
                <c:pt idx="241">
                  <c:v>45763</c:v>
                </c:pt>
                <c:pt idx="242">
                  <c:v>45762</c:v>
                </c:pt>
                <c:pt idx="243">
                  <c:v>45758</c:v>
                </c:pt>
                <c:pt idx="244">
                  <c:v>45756</c:v>
                </c:pt>
                <c:pt idx="245">
                  <c:v>45755</c:v>
                </c:pt>
                <c:pt idx="246">
                  <c:v>45754</c:v>
                </c:pt>
                <c:pt idx="247">
                  <c:v>45751</c:v>
                </c:pt>
                <c:pt idx="248">
                  <c:v>45750</c:v>
                </c:pt>
                <c:pt idx="249">
                  <c:v>45749</c:v>
                </c:pt>
                <c:pt idx="250">
                  <c:v>45748</c:v>
                </c:pt>
              </c:numCache>
            </c:numRef>
          </c:cat>
          <c:val>
            <c:numRef>
              <c:f>'Input Sheet'!$C$3:$C$253</c:f>
              <c:numCache>
                <c:formatCode>General</c:formatCode>
                <c:ptCount val="251"/>
                <c:pt idx="0">
                  <c:v>291.7</c:v>
                </c:pt>
                <c:pt idx="1">
                  <c:v>287.7</c:v>
                </c:pt>
                <c:pt idx="2">
                  <c:v>294.7</c:v>
                </c:pt>
                <c:pt idx="3">
                  <c:v>295.7</c:v>
                </c:pt>
                <c:pt idx="4">
                  <c:v>291.25</c:v>
                </c:pt>
                <c:pt idx="5">
                  <c:v>290.45</c:v>
                </c:pt>
                <c:pt idx="6">
                  <c:v>299.95</c:v>
                </c:pt>
                <c:pt idx="7">
                  <c:v>298</c:v>
                </c:pt>
                <c:pt idx="8">
                  <c:v>304.05</c:v>
                </c:pt>
                <c:pt idx="9">
                  <c:v>304.85000000000002</c:v>
                </c:pt>
                <c:pt idx="10">
                  <c:v>308.25</c:v>
                </c:pt>
                <c:pt idx="11">
                  <c:v>301.45</c:v>
                </c:pt>
                <c:pt idx="12">
                  <c:v>304.10000000000002</c:v>
                </c:pt>
                <c:pt idx="13">
                  <c:v>309</c:v>
                </c:pt>
                <c:pt idx="14">
                  <c:v>309.05</c:v>
                </c:pt>
                <c:pt idx="15">
                  <c:v>306</c:v>
                </c:pt>
                <c:pt idx="16">
                  <c:v>309.7</c:v>
                </c:pt>
                <c:pt idx="17">
                  <c:v>311.5</c:v>
                </c:pt>
                <c:pt idx="18">
                  <c:v>311.95</c:v>
                </c:pt>
                <c:pt idx="19">
                  <c:v>314.89999999999998</c:v>
                </c:pt>
                <c:pt idx="20">
                  <c:v>313.60000000000002</c:v>
                </c:pt>
                <c:pt idx="21">
                  <c:v>318.3</c:v>
                </c:pt>
                <c:pt idx="22">
                  <c:v>319.75</c:v>
                </c:pt>
                <c:pt idx="23">
                  <c:v>323.5</c:v>
                </c:pt>
                <c:pt idx="24">
                  <c:v>325.39999999999998</c:v>
                </c:pt>
                <c:pt idx="25">
                  <c:v>327</c:v>
                </c:pt>
                <c:pt idx="26">
                  <c:v>326</c:v>
                </c:pt>
                <c:pt idx="27">
                  <c:v>332.45</c:v>
                </c:pt>
                <c:pt idx="28">
                  <c:v>325.45</c:v>
                </c:pt>
                <c:pt idx="29">
                  <c:v>317.95</c:v>
                </c:pt>
                <c:pt idx="30">
                  <c:v>313.75</c:v>
                </c:pt>
                <c:pt idx="31">
                  <c:v>317.45</c:v>
                </c:pt>
                <c:pt idx="32">
                  <c:v>318.25</c:v>
                </c:pt>
                <c:pt idx="33">
                  <c:v>321.39999999999998</c:v>
                </c:pt>
                <c:pt idx="34">
                  <c:v>322.8</c:v>
                </c:pt>
                <c:pt idx="35">
                  <c:v>325.8</c:v>
                </c:pt>
                <c:pt idx="36">
                  <c:v>310.2</c:v>
                </c:pt>
                <c:pt idx="37">
                  <c:v>313.85000000000002</c:v>
                </c:pt>
                <c:pt idx="38">
                  <c:v>316.64999999999998</c:v>
                </c:pt>
                <c:pt idx="39">
                  <c:v>314.7</c:v>
                </c:pt>
                <c:pt idx="40">
                  <c:v>309.45</c:v>
                </c:pt>
                <c:pt idx="41">
                  <c:v>322.14999999999998</c:v>
                </c:pt>
                <c:pt idx="42">
                  <c:v>318.60000000000002</c:v>
                </c:pt>
                <c:pt idx="43">
                  <c:v>321.14999999999998</c:v>
                </c:pt>
                <c:pt idx="44">
                  <c:v>318.64999999999998</c:v>
                </c:pt>
                <c:pt idx="45">
                  <c:v>323.39999999999998</c:v>
                </c:pt>
                <c:pt idx="46">
                  <c:v>324.85000000000002</c:v>
                </c:pt>
                <c:pt idx="47">
                  <c:v>324.75</c:v>
                </c:pt>
                <c:pt idx="48">
                  <c:v>326.3</c:v>
                </c:pt>
                <c:pt idx="49">
                  <c:v>333.2</c:v>
                </c:pt>
                <c:pt idx="50">
                  <c:v>329.2</c:v>
                </c:pt>
                <c:pt idx="51">
                  <c:v>334.75</c:v>
                </c:pt>
                <c:pt idx="52">
                  <c:v>334.7</c:v>
                </c:pt>
                <c:pt idx="53">
                  <c:v>338.4</c:v>
                </c:pt>
                <c:pt idx="54">
                  <c:v>337.15</c:v>
                </c:pt>
                <c:pt idx="55">
                  <c:v>340.9</c:v>
                </c:pt>
                <c:pt idx="56">
                  <c:v>341.25</c:v>
                </c:pt>
                <c:pt idx="57">
                  <c:v>342.45</c:v>
                </c:pt>
                <c:pt idx="58">
                  <c:v>349.7</c:v>
                </c:pt>
                <c:pt idx="59">
                  <c:v>350.05</c:v>
                </c:pt>
                <c:pt idx="60">
                  <c:v>363.85</c:v>
                </c:pt>
                <c:pt idx="61">
                  <c:v>403</c:v>
                </c:pt>
                <c:pt idx="62">
                  <c:v>400.6</c:v>
                </c:pt>
                <c:pt idx="63">
                  <c:v>402.6</c:v>
                </c:pt>
                <c:pt idx="64">
                  <c:v>404.15</c:v>
                </c:pt>
                <c:pt idx="65">
                  <c:v>406.6</c:v>
                </c:pt>
                <c:pt idx="66">
                  <c:v>407.35</c:v>
                </c:pt>
                <c:pt idx="67">
                  <c:v>402.7</c:v>
                </c:pt>
                <c:pt idx="68">
                  <c:v>401.05</c:v>
                </c:pt>
                <c:pt idx="69">
                  <c:v>400.4</c:v>
                </c:pt>
                <c:pt idx="70">
                  <c:v>399.8</c:v>
                </c:pt>
                <c:pt idx="71">
                  <c:v>401.7</c:v>
                </c:pt>
                <c:pt idx="72">
                  <c:v>402.3</c:v>
                </c:pt>
                <c:pt idx="73">
                  <c:v>400.1</c:v>
                </c:pt>
                <c:pt idx="74">
                  <c:v>402.9</c:v>
                </c:pt>
                <c:pt idx="75">
                  <c:v>403.15</c:v>
                </c:pt>
                <c:pt idx="76">
                  <c:v>401.05</c:v>
                </c:pt>
                <c:pt idx="77">
                  <c:v>402.3</c:v>
                </c:pt>
                <c:pt idx="78">
                  <c:v>404.95</c:v>
                </c:pt>
                <c:pt idx="79">
                  <c:v>403.05</c:v>
                </c:pt>
                <c:pt idx="80">
                  <c:v>400.5</c:v>
                </c:pt>
                <c:pt idx="81">
                  <c:v>400.95</c:v>
                </c:pt>
                <c:pt idx="82">
                  <c:v>404.25</c:v>
                </c:pt>
                <c:pt idx="83">
                  <c:v>404.25</c:v>
                </c:pt>
                <c:pt idx="84">
                  <c:v>404.3</c:v>
                </c:pt>
                <c:pt idx="85">
                  <c:v>402.3</c:v>
                </c:pt>
                <c:pt idx="86">
                  <c:v>400.8</c:v>
                </c:pt>
                <c:pt idx="87">
                  <c:v>403.55</c:v>
                </c:pt>
                <c:pt idx="88">
                  <c:v>407.85</c:v>
                </c:pt>
                <c:pt idx="89">
                  <c:v>405.45</c:v>
                </c:pt>
                <c:pt idx="90">
                  <c:v>403.55</c:v>
                </c:pt>
                <c:pt idx="91">
                  <c:v>405.85</c:v>
                </c:pt>
                <c:pt idx="92">
                  <c:v>407.1</c:v>
                </c:pt>
                <c:pt idx="93">
                  <c:v>407.1</c:v>
                </c:pt>
                <c:pt idx="94">
                  <c:v>408.15</c:v>
                </c:pt>
                <c:pt idx="95">
                  <c:v>405.7</c:v>
                </c:pt>
                <c:pt idx="96">
                  <c:v>407</c:v>
                </c:pt>
                <c:pt idx="97">
                  <c:v>406.85</c:v>
                </c:pt>
                <c:pt idx="98">
                  <c:v>405.55</c:v>
                </c:pt>
                <c:pt idx="99">
                  <c:v>404.05</c:v>
                </c:pt>
                <c:pt idx="100">
                  <c:v>407.5</c:v>
                </c:pt>
                <c:pt idx="101">
                  <c:v>408.9</c:v>
                </c:pt>
                <c:pt idx="102">
                  <c:v>413.95</c:v>
                </c:pt>
                <c:pt idx="103">
                  <c:v>420.35</c:v>
                </c:pt>
                <c:pt idx="104">
                  <c:v>418.75</c:v>
                </c:pt>
                <c:pt idx="105">
                  <c:v>421.6</c:v>
                </c:pt>
                <c:pt idx="106">
                  <c:v>417.9</c:v>
                </c:pt>
                <c:pt idx="107">
                  <c:v>420.65</c:v>
                </c:pt>
                <c:pt idx="108">
                  <c:v>416.8</c:v>
                </c:pt>
                <c:pt idx="109">
                  <c:v>415.95</c:v>
                </c:pt>
                <c:pt idx="110">
                  <c:v>412.85</c:v>
                </c:pt>
                <c:pt idx="111">
                  <c:v>413.05</c:v>
                </c:pt>
                <c:pt idx="112">
                  <c:v>412.15</c:v>
                </c:pt>
                <c:pt idx="113">
                  <c:v>405.15</c:v>
                </c:pt>
                <c:pt idx="114">
                  <c:v>399.9</c:v>
                </c:pt>
                <c:pt idx="115">
                  <c:v>396.8</c:v>
                </c:pt>
                <c:pt idx="116">
                  <c:v>399.25</c:v>
                </c:pt>
                <c:pt idx="117">
                  <c:v>402.8</c:v>
                </c:pt>
                <c:pt idx="118">
                  <c:v>399.9</c:v>
                </c:pt>
                <c:pt idx="119">
                  <c:v>399.75</c:v>
                </c:pt>
                <c:pt idx="120">
                  <c:v>399.8</c:v>
                </c:pt>
                <c:pt idx="121">
                  <c:v>400.75</c:v>
                </c:pt>
                <c:pt idx="122">
                  <c:v>404.3</c:v>
                </c:pt>
                <c:pt idx="123">
                  <c:v>405.6</c:v>
                </c:pt>
                <c:pt idx="124">
                  <c:v>401.55</c:v>
                </c:pt>
                <c:pt idx="125">
                  <c:v>407.25</c:v>
                </c:pt>
                <c:pt idx="126">
                  <c:v>405.1</c:v>
                </c:pt>
                <c:pt idx="127">
                  <c:v>400.1</c:v>
                </c:pt>
                <c:pt idx="128">
                  <c:v>401</c:v>
                </c:pt>
                <c:pt idx="129">
                  <c:v>403.2</c:v>
                </c:pt>
                <c:pt idx="130">
                  <c:v>406.95</c:v>
                </c:pt>
                <c:pt idx="131">
                  <c:v>410.65</c:v>
                </c:pt>
                <c:pt idx="132">
                  <c:v>409.3</c:v>
                </c:pt>
                <c:pt idx="133">
                  <c:v>411.55</c:v>
                </c:pt>
                <c:pt idx="134">
                  <c:v>409.3</c:v>
                </c:pt>
                <c:pt idx="135">
                  <c:v>413.1</c:v>
                </c:pt>
                <c:pt idx="136">
                  <c:v>412.65</c:v>
                </c:pt>
                <c:pt idx="137">
                  <c:v>412.65</c:v>
                </c:pt>
                <c:pt idx="138">
                  <c:v>413.75</c:v>
                </c:pt>
                <c:pt idx="139">
                  <c:v>415.05</c:v>
                </c:pt>
                <c:pt idx="140">
                  <c:v>413.05</c:v>
                </c:pt>
                <c:pt idx="141">
                  <c:v>410.05</c:v>
                </c:pt>
                <c:pt idx="142">
                  <c:v>407.55</c:v>
                </c:pt>
                <c:pt idx="143">
                  <c:v>407.35</c:v>
                </c:pt>
                <c:pt idx="144">
                  <c:v>415.9</c:v>
                </c:pt>
                <c:pt idx="145">
                  <c:v>411.75</c:v>
                </c:pt>
                <c:pt idx="146">
                  <c:v>406.75</c:v>
                </c:pt>
                <c:pt idx="147">
                  <c:v>405.85</c:v>
                </c:pt>
                <c:pt idx="148">
                  <c:v>409.75</c:v>
                </c:pt>
                <c:pt idx="149">
                  <c:v>400.9</c:v>
                </c:pt>
                <c:pt idx="150">
                  <c:v>403.35</c:v>
                </c:pt>
                <c:pt idx="151">
                  <c:v>399.35</c:v>
                </c:pt>
                <c:pt idx="152">
                  <c:v>398.3</c:v>
                </c:pt>
                <c:pt idx="153">
                  <c:v>405.55</c:v>
                </c:pt>
                <c:pt idx="154">
                  <c:v>406.05</c:v>
                </c:pt>
                <c:pt idx="155">
                  <c:v>409.1</c:v>
                </c:pt>
                <c:pt idx="156">
                  <c:v>406.3</c:v>
                </c:pt>
                <c:pt idx="157">
                  <c:v>411.45</c:v>
                </c:pt>
                <c:pt idx="158">
                  <c:v>414.1</c:v>
                </c:pt>
                <c:pt idx="159">
                  <c:v>416.35</c:v>
                </c:pt>
                <c:pt idx="160">
                  <c:v>416.85</c:v>
                </c:pt>
                <c:pt idx="161">
                  <c:v>414.5</c:v>
                </c:pt>
                <c:pt idx="162">
                  <c:v>413.6</c:v>
                </c:pt>
                <c:pt idx="163">
                  <c:v>412</c:v>
                </c:pt>
                <c:pt idx="164">
                  <c:v>414.15</c:v>
                </c:pt>
                <c:pt idx="165">
                  <c:v>416.85</c:v>
                </c:pt>
                <c:pt idx="166">
                  <c:v>416.45</c:v>
                </c:pt>
                <c:pt idx="167">
                  <c:v>411.95</c:v>
                </c:pt>
                <c:pt idx="168">
                  <c:v>407.6</c:v>
                </c:pt>
                <c:pt idx="169">
                  <c:v>408.45</c:v>
                </c:pt>
                <c:pt idx="170">
                  <c:v>409.9</c:v>
                </c:pt>
                <c:pt idx="171">
                  <c:v>409.4</c:v>
                </c:pt>
                <c:pt idx="172">
                  <c:v>409.95</c:v>
                </c:pt>
                <c:pt idx="173">
                  <c:v>414.95</c:v>
                </c:pt>
                <c:pt idx="174">
                  <c:v>416</c:v>
                </c:pt>
                <c:pt idx="175">
                  <c:v>420.1</c:v>
                </c:pt>
                <c:pt idx="176">
                  <c:v>422.75</c:v>
                </c:pt>
                <c:pt idx="177">
                  <c:v>423.95</c:v>
                </c:pt>
                <c:pt idx="178">
                  <c:v>424.6</c:v>
                </c:pt>
                <c:pt idx="179">
                  <c:v>422.1</c:v>
                </c:pt>
                <c:pt idx="180">
                  <c:v>419.4</c:v>
                </c:pt>
                <c:pt idx="181">
                  <c:v>416.8</c:v>
                </c:pt>
                <c:pt idx="182">
                  <c:v>416.85</c:v>
                </c:pt>
                <c:pt idx="183">
                  <c:v>419.45</c:v>
                </c:pt>
                <c:pt idx="184">
                  <c:v>417.2</c:v>
                </c:pt>
                <c:pt idx="185">
                  <c:v>416.15</c:v>
                </c:pt>
                <c:pt idx="186">
                  <c:v>412.55</c:v>
                </c:pt>
                <c:pt idx="187">
                  <c:v>413.35</c:v>
                </c:pt>
                <c:pt idx="188">
                  <c:v>412.95</c:v>
                </c:pt>
                <c:pt idx="189">
                  <c:v>415.1</c:v>
                </c:pt>
                <c:pt idx="190">
                  <c:v>416.45</c:v>
                </c:pt>
                <c:pt idx="191">
                  <c:v>418.65</c:v>
                </c:pt>
                <c:pt idx="192">
                  <c:v>420.3</c:v>
                </c:pt>
                <c:pt idx="193">
                  <c:v>416.35</c:v>
                </c:pt>
                <c:pt idx="194">
                  <c:v>414.35</c:v>
                </c:pt>
                <c:pt idx="195">
                  <c:v>413.9</c:v>
                </c:pt>
                <c:pt idx="196">
                  <c:v>418.55</c:v>
                </c:pt>
                <c:pt idx="197">
                  <c:v>416</c:v>
                </c:pt>
                <c:pt idx="198">
                  <c:v>415.9</c:v>
                </c:pt>
                <c:pt idx="199">
                  <c:v>417.4</c:v>
                </c:pt>
                <c:pt idx="200">
                  <c:v>418.2</c:v>
                </c:pt>
                <c:pt idx="201">
                  <c:v>413.9</c:v>
                </c:pt>
                <c:pt idx="202">
                  <c:v>421</c:v>
                </c:pt>
                <c:pt idx="203">
                  <c:v>426.15</c:v>
                </c:pt>
                <c:pt idx="204">
                  <c:v>427</c:v>
                </c:pt>
                <c:pt idx="205">
                  <c:v>423.05</c:v>
                </c:pt>
                <c:pt idx="206">
                  <c:v>421.05</c:v>
                </c:pt>
                <c:pt idx="207">
                  <c:v>419.1</c:v>
                </c:pt>
                <c:pt idx="208">
                  <c:v>417</c:v>
                </c:pt>
                <c:pt idx="209">
                  <c:v>416.95</c:v>
                </c:pt>
                <c:pt idx="210">
                  <c:v>419.3</c:v>
                </c:pt>
                <c:pt idx="211">
                  <c:v>418.05</c:v>
                </c:pt>
                <c:pt idx="212">
                  <c:v>418.75</c:v>
                </c:pt>
                <c:pt idx="213">
                  <c:v>420.2</c:v>
                </c:pt>
                <c:pt idx="214">
                  <c:v>433.9</c:v>
                </c:pt>
                <c:pt idx="215">
                  <c:v>442.9</c:v>
                </c:pt>
                <c:pt idx="216">
                  <c:v>436.3</c:v>
                </c:pt>
                <c:pt idx="217">
                  <c:v>426.1</c:v>
                </c:pt>
                <c:pt idx="218">
                  <c:v>433</c:v>
                </c:pt>
                <c:pt idx="219">
                  <c:v>434.9</c:v>
                </c:pt>
                <c:pt idx="220">
                  <c:v>435.35</c:v>
                </c:pt>
                <c:pt idx="221">
                  <c:v>435.7</c:v>
                </c:pt>
                <c:pt idx="222">
                  <c:v>432.65</c:v>
                </c:pt>
                <c:pt idx="223">
                  <c:v>429.1</c:v>
                </c:pt>
                <c:pt idx="224">
                  <c:v>427.9</c:v>
                </c:pt>
                <c:pt idx="225">
                  <c:v>435.5</c:v>
                </c:pt>
                <c:pt idx="226">
                  <c:v>423.55</c:v>
                </c:pt>
                <c:pt idx="227">
                  <c:v>430.6</c:v>
                </c:pt>
                <c:pt idx="228">
                  <c:v>431.15</c:v>
                </c:pt>
                <c:pt idx="229">
                  <c:v>435.55</c:v>
                </c:pt>
                <c:pt idx="230">
                  <c:v>436.95</c:v>
                </c:pt>
                <c:pt idx="231">
                  <c:v>430.25</c:v>
                </c:pt>
                <c:pt idx="232">
                  <c:v>425.8</c:v>
                </c:pt>
                <c:pt idx="233">
                  <c:v>426</c:v>
                </c:pt>
                <c:pt idx="234">
                  <c:v>428.8</c:v>
                </c:pt>
                <c:pt idx="235">
                  <c:v>427.8</c:v>
                </c:pt>
                <c:pt idx="236">
                  <c:v>430.05</c:v>
                </c:pt>
                <c:pt idx="237">
                  <c:v>430.85</c:v>
                </c:pt>
                <c:pt idx="238">
                  <c:v>433.6</c:v>
                </c:pt>
                <c:pt idx="239">
                  <c:v>422.85</c:v>
                </c:pt>
                <c:pt idx="240">
                  <c:v>427.25</c:v>
                </c:pt>
                <c:pt idx="241">
                  <c:v>424.45</c:v>
                </c:pt>
                <c:pt idx="242">
                  <c:v>420.4</c:v>
                </c:pt>
                <c:pt idx="243">
                  <c:v>421.55</c:v>
                </c:pt>
                <c:pt idx="244">
                  <c:v>416.3</c:v>
                </c:pt>
                <c:pt idx="245">
                  <c:v>412.55</c:v>
                </c:pt>
                <c:pt idx="246">
                  <c:v>406.05</c:v>
                </c:pt>
                <c:pt idx="247">
                  <c:v>409.7</c:v>
                </c:pt>
                <c:pt idx="248">
                  <c:v>409.4</c:v>
                </c:pt>
                <c:pt idx="249">
                  <c:v>409.05</c:v>
                </c:pt>
                <c:pt idx="250">
                  <c:v>406.65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5-4688-BF56-DC35F559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615551"/>
        <c:axId val="1118616031"/>
      </c:lineChart>
      <c:dateAx>
        <c:axId val="111861555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16031"/>
        <c:crosses val="autoZero"/>
        <c:auto val="1"/>
        <c:lblOffset val="100"/>
        <c:baseTimeUnit val="days"/>
      </c:dateAx>
      <c:valAx>
        <c:axId val="1118616031"/>
        <c:scaling>
          <c:orientation val="minMax"/>
          <c:max val="500"/>
          <c:min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15551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'Input Sheet'!$D$2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tint val="55000"/>
              </a:schemeClr>
            </a:solidFill>
            <a:ln w="9525" cap="flat" cmpd="sng" algn="ctr">
              <a:solidFill>
                <a:srgbClr val="002060"/>
              </a:solidFill>
              <a:round/>
            </a:ln>
            <a:effectLst/>
          </c:spPr>
          <c:invertIfNegative val="0"/>
          <c:cat>
            <c:numRef>
              <c:f>'Input Sheet'!$B$3:$B$253</c:f>
              <c:numCache>
                <c:formatCode>d\-mmm\-yy</c:formatCode>
                <c:ptCount val="251"/>
                <c:pt idx="0">
                  <c:v>46113</c:v>
                </c:pt>
                <c:pt idx="1">
                  <c:v>46111</c:v>
                </c:pt>
                <c:pt idx="2">
                  <c:v>46108</c:v>
                </c:pt>
                <c:pt idx="3">
                  <c:v>46106</c:v>
                </c:pt>
                <c:pt idx="4">
                  <c:v>46105</c:v>
                </c:pt>
                <c:pt idx="5">
                  <c:v>46104</c:v>
                </c:pt>
                <c:pt idx="6">
                  <c:v>46101</c:v>
                </c:pt>
                <c:pt idx="7">
                  <c:v>46100</c:v>
                </c:pt>
                <c:pt idx="8">
                  <c:v>46099</c:v>
                </c:pt>
                <c:pt idx="9">
                  <c:v>46098</c:v>
                </c:pt>
                <c:pt idx="10">
                  <c:v>46097</c:v>
                </c:pt>
                <c:pt idx="11">
                  <c:v>46094</c:v>
                </c:pt>
                <c:pt idx="12">
                  <c:v>46093</c:v>
                </c:pt>
                <c:pt idx="13">
                  <c:v>46092</c:v>
                </c:pt>
                <c:pt idx="14">
                  <c:v>46091</c:v>
                </c:pt>
                <c:pt idx="15">
                  <c:v>46090</c:v>
                </c:pt>
                <c:pt idx="16">
                  <c:v>46087</c:v>
                </c:pt>
                <c:pt idx="17">
                  <c:v>46086</c:v>
                </c:pt>
                <c:pt idx="18">
                  <c:v>46085</c:v>
                </c:pt>
                <c:pt idx="19">
                  <c:v>46083</c:v>
                </c:pt>
                <c:pt idx="20">
                  <c:v>46080</c:v>
                </c:pt>
                <c:pt idx="21">
                  <c:v>46079</c:v>
                </c:pt>
                <c:pt idx="22">
                  <c:v>46078</c:v>
                </c:pt>
                <c:pt idx="23">
                  <c:v>46077</c:v>
                </c:pt>
                <c:pt idx="24">
                  <c:v>46076</c:v>
                </c:pt>
                <c:pt idx="25">
                  <c:v>46073</c:v>
                </c:pt>
                <c:pt idx="26">
                  <c:v>46072</c:v>
                </c:pt>
                <c:pt idx="27">
                  <c:v>46071</c:v>
                </c:pt>
                <c:pt idx="28">
                  <c:v>46070</c:v>
                </c:pt>
                <c:pt idx="29">
                  <c:v>46069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46054</c:v>
                </c:pt>
                <c:pt idx="41">
                  <c:v>46052</c:v>
                </c:pt>
                <c:pt idx="42">
                  <c:v>46051</c:v>
                </c:pt>
                <c:pt idx="43">
                  <c:v>46050</c:v>
                </c:pt>
                <c:pt idx="44">
                  <c:v>46049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46036</c:v>
                </c:pt>
                <c:pt idx="52">
                  <c:v>46035</c:v>
                </c:pt>
                <c:pt idx="53">
                  <c:v>46034</c:v>
                </c:pt>
                <c:pt idx="54">
                  <c:v>46031</c:v>
                </c:pt>
                <c:pt idx="55">
                  <c:v>46030</c:v>
                </c:pt>
                <c:pt idx="56">
                  <c:v>46029</c:v>
                </c:pt>
                <c:pt idx="57">
                  <c:v>46028</c:v>
                </c:pt>
                <c:pt idx="58">
                  <c:v>46027</c:v>
                </c:pt>
                <c:pt idx="59">
                  <c:v>46024</c:v>
                </c:pt>
                <c:pt idx="60">
                  <c:v>46023</c:v>
                </c:pt>
                <c:pt idx="61">
                  <c:v>46022</c:v>
                </c:pt>
                <c:pt idx="62">
                  <c:v>46021</c:v>
                </c:pt>
                <c:pt idx="63">
                  <c:v>46020</c:v>
                </c:pt>
                <c:pt idx="64">
                  <c:v>46017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45979</c:v>
                </c:pt>
                <c:pt idx="93">
                  <c:v>45978</c:v>
                </c:pt>
                <c:pt idx="94">
                  <c:v>45975</c:v>
                </c:pt>
                <c:pt idx="95">
                  <c:v>45974</c:v>
                </c:pt>
                <c:pt idx="96">
                  <c:v>45973</c:v>
                </c:pt>
                <c:pt idx="97">
                  <c:v>45972</c:v>
                </c:pt>
                <c:pt idx="98">
                  <c:v>45971</c:v>
                </c:pt>
                <c:pt idx="99">
                  <c:v>45968</c:v>
                </c:pt>
                <c:pt idx="100">
                  <c:v>45967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45951</c:v>
                </c:pt>
                <c:pt idx="111">
                  <c:v>45950</c:v>
                </c:pt>
                <c:pt idx="112">
                  <c:v>45947</c:v>
                </c:pt>
                <c:pt idx="113">
                  <c:v>45946</c:v>
                </c:pt>
                <c:pt idx="114">
                  <c:v>45945</c:v>
                </c:pt>
                <c:pt idx="115">
                  <c:v>45944</c:v>
                </c:pt>
                <c:pt idx="116">
                  <c:v>45943</c:v>
                </c:pt>
                <c:pt idx="117">
                  <c:v>45940</c:v>
                </c:pt>
                <c:pt idx="118">
                  <c:v>45939</c:v>
                </c:pt>
                <c:pt idx="119">
                  <c:v>45938</c:v>
                </c:pt>
                <c:pt idx="120">
                  <c:v>45937</c:v>
                </c:pt>
                <c:pt idx="121">
                  <c:v>45936</c:v>
                </c:pt>
                <c:pt idx="122">
                  <c:v>45933</c:v>
                </c:pt>
                <c:pt idx="123">
                  <c:v>45931</c:v>
                </c:pt>
                <c:pt idx="124">
                  <c:v>45930</c:v>
                </c:pt>
                <c:pt idx="125">
                  <c:v>45929</c:v>
                </c:pt>
                <c:pt idx="126">
                  <c:v>45926</c:v>
                </c:pt>
                <c:pt idx="127">
                  <c:v>45925</c:v>
                </c:pt>
                <c:pt idx="128">
                  <c:v>45924</c:v>
                </c:pt>
                <c:pt idx="129">
                  <c:v>45923</c:v>
                </c:pt>
                <c:pt idx="130">
                  <c:v>45922</c:v>
                </c:pt>
                <c:pt idx="131">
                  <c:v>45919</c:v>
                </c:pt>
                <c:pt idx="132">
                  <c:v>45918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45916</c:v>
                </c:pt>
                <c:pt idx="137">
                  <c:v>45915</c:v>
                </c:pt>
                <c:pt idx="138">
                  <c:v>45912</c:v>
                </c:pt>
                <c:pt idx="139">
                  <c:v>45911</c:v>
                </c:pt>
                <c:pt idx="140">
                  <c:v>45910</c:v>
                </c:pt>
                <c:pt idx="141">
                  <c:v>45909</c:v>
                </c:pt>
                <c:pt idx="142">
                  <c:v>45908</c:v>
                </c:pt>
                <c:pt idx="143">
                  <c:v>45905</c:v>
                </c:pt>
                <c:pt idx="144">
                  <c:v>45904</c:v>
                </c:pt>
                <c:pt idx="145">
                  <c:v>45903</c:v>
                </c:pt>
                <c:pt idx="146">
                  <c:v>45902</c:v>
                </c:pt>
                <c:pt idx="147">
                  <c:v>45901</c:v>
                </c:pt>
                <c:pt idx="148">
                  <c:v>45898</c:v>
                </c:pt>
                <c:pt idx="149">
                  <c:v>45897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45814</c:v>
                </c:pt>
                <c:pt idx="207">
                  <c:v>45813</c:v>
                </c:pt>
                <c:pt idx="208">
                  <c:v>45812</c:v>
                </c:pt>
                <c:pt idx="209">
                  <c:v>45811</c:v>
                </c:pt>
                <c:pt idx="210">
                  <c:v>45810</c:v>
                </c:pt>
                <c:pt idx="211">
                  <c:v>45807</c:v>
                </c:pt>
                <c:pt idx="212">
                  <c:v>45806</c:v>
                </c:pt>
                <c:pt idx="213">
                  <c:v>45805</c:v>
                </c:pt>
                <c:pt idx="214">
                  <c:v>45804</c:v>
                </c:pt>
                <c:pt idx="215">
                  <c:v>45803</c:v>
                </c:pt>
                <c:pt idx="216">
                  <c:v>45800</c:v>
                </c:pt>
                <c:pt idx="217">
                  <c:v>45799</c:v>
                </c:pt>
                <c:pt idx="218">
                  <c:v>45798</c:v>
                </c:pt>
                <c:pt idx="219">
                  <c:v>45797</c:v>
                </c:pt>
                <c:pt idx="220">
                  <c:v>45796</c:v>
                </c:pt>
                <c:pt idx="221">
                  <c:v>45793</c:v>
                </c:pt>
                <c:pt idx="222">
                  <c:v>45792</c:v>
                </c:pt>
                <c:pt idx="223">
                  <c:v>45791</c:v>
                </c:pt>
                <c:pt idx="224">
                  <c:v>45790</c:v>
                </c:pt>
                <c:pt idx="225">
                  <c:v>45789</c:v>
                </c:pt>
                <c:pt idx="226">
                  <c:v>45786</c:v>
                </c:pt>
                <c:pt idx="227">
                  <c:v>45785</c:v>
                </c:pt>
                <c:pt idx="228">
                  <c:v>45784</c:v>
                </c:pt>
                <c:pt idx="229">
                  <c:v>45783</c:v>
                </c:pt>
                <c:pt idx="230">
                  <c:v>45782</c:v>
                </c:pt>
                <c:pt idx="231">
                  <c:v>45779</c:v>
                </c:pt>
                <c:pt idx="232">
                  <c:v>45777</c:v>
                </c:pt>
                <c:pt idx="233">
                  <c:v>45776</c:v>
                </c:pt>
                <c:pt idx="234">
                  <c:v>45775</c:v>
                </c:pt>
                <c:pt idx="235">
                  <c:v>45772</c:v>
                </c:pt>
                <c:pt idx="236">
                  <c:v>45771</c:v>
                </c:pt>
                <c:pt idx="237">
                  <c:v>45770</c:v>
                </c:pt>
                <c:pt idx="238">
                  <c:v>45769</c:v>
                </c:pt>
                <c:pt idx="239">
                  <c:v>45768</c:v>
                </c:pt>
                <c:pt idx="240">
                  <c:v>45764</c:v>
                </c:pt>
                <c:pt idx="241">
                  <c:v>45763</c:v>
                </c:pt>
                <c:pt idx="242">
                  <c:v>45762</c:v>
                </c:pt>
                <c:pt idx="243">
                  <c:v>45758</c:v>
                </c:pt>
                <c:pt idx="244">
                  <c:v>45756</c:v>
                </c:pt>
                <c:pt idx="245">
                  <c:v>45755</c:v>
                </c:pt>
                <c:pt idx="246">
                  <c:v>45754</c:v>
                </c:pt>
                <c:pt idx="247">
                  <c:v>45751</c:v>
                </c:pt>
                <c:pt idx="248">
                  <c:v>45750</c:v>
                </c:pt>
                <c:pt idx="249">
                  <c:v>45749</c:v>
                </c:pt>
                <c:pt idx="250">
                  <c:v>45748</c:v>
                </c:pt>
              </c:numCache>
            </c:numRef>
          </c:cat>
          <c:val>
            <c:numRef>
              <c:f>'Input Sheet'!$D$3:$D$253</c:f>
              <c:numCache>
                <c:formatCode>General</c:formatCode>
                <c:ptCount val="251"/>
                <c:pt idx="0">
                  <c:v>18.604340000000001</c:v>
                </c:pt>
                <c:pt idx="1">
                  <c:v>24.586921</c:v>
                </c:pt>
                <c:pt idx="2">
                  <c:v>22.179022</c:v>
                </c:pt>
                <c:pt idx="3">
                  <c:v>26.184716000000002</c:v>
                </c:pt>
                <c:pt idx="4">
                  <c:v>33.335720999999999</c:v>
                </c:pt>
                <c:pt idx="5">
                  <c:v>31.788160000000001</c:v>
                </c:pt>
                <c:pt idx="6">
                  <c:v>58.679529000000002</c:v>
                </c:pt>
                <c:pt idx="7">
                  <c:v>17.851126000000001</c:v>
                </c:pt>
                <c:pt idx="8">
                  <c:v>16.702553999999999</c:v>
                </c:pt>
                <c:pt idx="9">
                  <c:v>25.649286</c:v>
                </c:pt>
                <c:pt idx="10">
                  <c:v>37.472203999999998</c:v>
                </c:pt>
                <c:pt idx="11">
                  <c:v>25.659996</c:v>
                </c:pt>
                <c:pt idx="12">
                  <c:v>23.319679000000001</c:v>
                </c:pt>
                <c:pt idx="13">
                  <c:v>14.842485</c:v>
                </c:pt>
                <c:pt idx="14">
                  <c:v>18.35295</c:v>
                </c:pt>
                <c:pt idx="15">
                  <c:v>14.084930999999999</c:v>
                </c:pt>
                <c:pt idx="16">
                  <c:v>21.288269</c:v>
                </c:pt>
                <c:pt idx="17">
                  <c:v>19.938009000000001</c:v>
                </c:pt>
                <c:pt idx="18">
                  <c:v>24.165489000000001</c:v>
                </c:pt>
                <c:pt idx="19">
                  <c:v>22.194310999999999</c:v>
                </c:pt>
                <c:pt idx="20">
                  <c:v>13.892595</c:v>
                </c:pt>
                <c:pt idx="21">
                  <c:v>11.270118999999999</c:v>
                </c:pt>
                <c:pt idx="22">
                  <c:v>13.492101</c:v>
                </c:pt>
                <c:pt idx="23">
                  <c:v>13.135859</c:v>
                </c:pt>
                <c:pt idx="24">
                  <c:v>13.486091999999999</c:v>
                </c:pt>
                <c:pt idx="25">
                  <c:v>11.282026999999999</c:v>
                </c:pt>
                <c:pt idx="26">
                  <c:v>19.911746999999998</c:v>
                </c:pt>
                <c:pt idx="27">
                  <c:v>35.473202999999998</c:v>
                </c:pt>
                <c:pt idx="28">
                  <c:v>39.360672000000001</c:v>
                </c:pt>
                <c:pt idx="29">
                  <c:v>11.693763000000001</c:v>
                </c:pt>
                <c:pt idx="30">
                  <c:v>8.7306179999999998</c:v>
                </c:pt>
                <c:pt idx="31">
                  <c:v>13.294561</c:v>
                </c:pt>
                <c:pt idx="32">
                  <c:v>24.843366</c:v>
                </c:pt>
                <c:pt idx="33">
                  <c:v>11.489089999999999</c:v>
                </c:pt>
                <c:pt idx="34">
                  <c:v>20.059197999999999</c:v>
                </c:pt>
                <c:pt idx="35">
                  <c:v>68.057744999999997</c:v>
                </c:pt>
                <c:pt idx="36">
                  <c:v>15.816704</c:v>
                </c:pt>
                <c:pt idx="37">
                  <c:v>11.196759</c:v>
                </c:pt>
                <c:pt idx="38">
                  <c:v>33.168353000000003</c:v>
                </c:pt>
                <c:pt idx="39">
                  <c:v>35.227572000000002</c:v>
                </c:pt>
                <c:pt idx="40">
                  <c:v>33.278995000000002</c:v>
                </c:pt>
                <c:pt idx="41">
                  <c:v>41.975824000000003</c:v>
                </c:pt>
                <c:pt idx="42">
                  <c:v>17.71942</c:v>
                </c:pt>
                <c:pt idx="43">
                  <c:v>28.400238000000002</c:v>
                </c:pt>
                <c:pt idx="44">
                  <c:v>47.847783999999997</c:v>
                </c:pt>
                <c:pt idx="45">
                  <c:v>11.950089</c:v>
                </c:pt>
                <c:pt idx="46">
                  <c:v>18.622852000000002</c:v>
                </c:pt>
                <c:pt idx="47">
                  <c:v>14.177965</c:v>
                </c:pt>
                <c:pt idx="48">
                  <c:v>18.771011000000001</c:v>
                </c:pt>
                <c:pt idx="49">
                  <c:v>15.507440000000001</c:v>
                </c:pt>
                <c:pt idx="50">
                  <c:v>30.526897999999999</c:v>
                </c:pt>
                <c:pt idx="51">
                  <c:v>14.913422000000001</c:v>
                </c:pt>
                <c:pt idx="52">
                  <c:v>24.922339000000001</c:v>
                </c:pt>
                <c:pt idx="53">
                  <c:v>16.156143</c:v>
                </c:pt>
                <c:pt idx="54">
                  <c:v>35.193201000000002</c:v>
                </c:pt>
                <c:pt idx="55">
                  <c:v>36.706319000000001</c:v>
                </c:pt>
                <c:pt idx="56">
                  <c:v>29.440733999999999</c:v>
                </c:pt>
                <c:pt idx="57">
                  <c:v>72.582738000000006</c:v>
                </c:pt>
                <c:pt idx="58">
                  <c:v>48.358123999999997</c:v>
                </c:pt>
                <c:pt idx="59">
                  <c:v>118.790358</c:v>
                </c:pt>
                <c:pt idx="60">
                  <c:v>282.62671</c:v>
                </c:pt>
                <c:pt idx="61">
                  <c:v>9.9451090000000004</c:v>
                </c:pt>
                <c:pt idx="62">
                  <c:v>12.340527</c:v>
                </c:pt>
                <c:pt idx="63">
                  <c:v>6.64771</c:v>
                </c:pt>
                <c:pt idx="64">
                  <c:v>3.1524529999999999</c:v>
                </c:pt>
                <c:pt idx="65">
                  <c:v>5.7774299999999998</c:v>
                </c:pt>
                <c:pt idx="66">
                  <c:v>10.081996999999999</c:v>
                </c:pt>
                <c:pt idx="67">
                  <c:v>6.8478709999999996</c:v>
                </c:pt>
                <c:pt idx="68">
                  <c:v>10.654835</c:v>
                </c:pt>
                <c:pt idx="69">
                  <c:v>7.2276680000000004</c:v>
                </c:pt>
                <c:pt idx="70">
                  <c:v>8.0874900000000007</c:v>
                </c:pt>
                <c:pt idx="71">
                  <c:v>12.347384</c:v>
                </c:pt>
                <c:pt idx="72">
                  <c:v>7.756564</c:v>
                </c:pt>
                <c:pt idx="73">
                  <c:v>12.407515999999999</c:v>
                </c:pt>
                <c:pt idx="74">
                  <c:v>6.9801469999999997</c:v>
                </c:pt>
                <c:pt idx="75">
                  <c:v>6.9691460000000003</c:v>
                </c:pt>
                <c:pt idx="76">
                  <c:v>9.426717</c:v>
                </c:pt>
                <c:pt idx="77">
                  <c:v>6.0568660000000003</c:v>
                </c:pt>
                <c:pt idx="78">
                  <c:v>4.4197470000000001</c:v>
                </c:pt>
                <c:pt idx="79">
                  <c:v>8.0579889999999992</c:v>
                </c:pt>
                <c:pt idx="80">
                  <c:v>10.772192</c:v>
                </c:pt>
                <c:pt idx="81">
                  <c:v>8.0938079999999992</c:v>
                </c:pt>
                <c:pt idx="82">
                  <c:v>13.442658</c:v>
                </c:pt>
                <c:pt idx="83">
                  <c:v>6.8834999999999997</c:v>
                </c:pt>
                <c:pt idx="84">
                  <c:v>8.6795290000000005</c:v>
                </c:pt>
                <c:pt idx="85">
                  <c:v>11.443953</c:v>
                </c:pt>
                <c:pt idx="86">
                  <c:v>8.1997850000000003</c:v>
                </c:pt>
                <c:pt idx="87">
                  <c:v>11.037490999999999</c:v>
                </c:pt>
                <c:pt idx="88">
                  <c:v>5.8081310000000004</c:v>
                </c:pt>
                <c:pt idx="89">
                  <c:v>6.6934100000000001</c:v>
                </c:pt>
                <c:pt idx="90">
                  <c:v>7.8824500000000004</c:v>
                </c:pt>
                <c:pt idx="91">
                  <c:v>7.6616809999999997</c:v>
                </c:pt>
                <c:pt idx="92">
                  <c:v>47.551346000000002</c:v>
                </c:pt>
                <c:pt idx="93">
                  <c:v>7.8553990000000002</c:v>
                </c:pt>
                <c:pt idx="94">
                  <c:v>64.020257999999998</c:v>
                </c:pt>
                <c:pt idx="95">
                  <c:v>6.6171850000000001</c:v>
                </c:pt>
                <c:pt idx="96">
                  <c:v>7.9872360000000002</c:v>
                </c:pt>
                <c:pt idx="97">
                  <c:v>12.005318000000001</c:v>
                </c:pt>
                <c:pt idx="98">
                  <c:v>6.6500029999999999</c:v>
                </c:pt>
                <c:pt idx="99">
                  <c:v>8.4116110000000006</c:v>
                </c:pt>
                <c:pt idx="100">
                  <c:v>10.095563</c:v>
                </c:pt>
                <c:pt idx="101">
                  <c:v>10.085404</c:v>
                </c:pt>
                <c:pt idx="102">
                  <c:v>7.63544</c:v>
                </c:pt>
                <c:pt idx="103">
                  <c:v>18.599864</c:v>
                </c:pt>
                <c:pt idx="104">
                  <c:v>12.938674000000001</c:v>
                </c:pt>
                <c:pt idx="105">
                  <c:v>11.470661</c:v>
                </c:pt>
                <c:pt idx="106">
                  <c:v>17.163146999999999</c:v>
                </c:pt>
                <c:pt idx="107">
                  <c:v>11.603679</c:v>
                </c:pt>
                <c:pt idx="108">
                  <c:v>14.935677999999999</c:v>
                </c:pt>
                <c:pt idx="109">
                  <c:v>24.305990000000001</c:v>
                </c:pt>
                <c:pt idx="110">
                  <c:v>1.1421300000000001</c:v>
                </c:pt>
                <c:pt idx="111">
                  <c:v>13.083621000000001</c:v>
                </c:pt>
                <c:pt idx="112">
                  <c:v>21.071344</c:v>
                </c:pt>
                <c:pt idx="113">
                  <c:v>22.962049</c:v>
                </c:pt>
                <c:pt idx="114">
                  <c:v>16.043866999999999</c:v>
                </c:pt>
                <c:pt idx="115">
                  <c:v>10.291102</c:v>
                </c:pt>
                <c:pt idx="116">
                  <c:v>9.5085940000000004</c:v>
                </c:pt>
                <c:pt idx="117">
                  <c:v>15.085737999999999</c:v>
                </c:pt>
                <c:pt idx="118">
                  <c:v>15.656267</c:v>
                </c:pt>
                <c:pt idx="119">
                  <c:v>8.4024629999999991</c:v>
                </c:pt>
                <c:pt idx="120">
                  <c:v>12.298968</c:v>
                </c:pt>
                <c:pt idx="121">
                  <c:v>13.989077</c:v>
                </c:pt>
                <c:pt idx="122">
                  <c:v>16.987141000000001</c:v>
                </c:pt>
                <c:pt idx="123">
                  <c:v>17.643039000000002</c:v>
                </c:pt>
                <c:pt idx="124">
                  <c:v>9.4654900000000008</c:v>
                </c:pt>
                <c:pt idx="125">
                  <c:v>19.717659999999999</c:v>
                </c:pt>
                <c:pt idx="126">
                  <c:v>14.414044000000001</c:v>
                </c:pt>
                <c:pt idx="127">
                  <c:v>22.006367999999998</c:v>
                </c:pt>
                <c:pt idx="128">
                  <c:v>12.380865</c:v>
                </c:pt>
                <c:pt idx="129">
                  <c:v>14.936356999999999</c:v>
                </c:pt>
                <c:pt idx="130">
                  <c:v>8.9307789999999994</c:v>
                </c:pt>
                <c:pt idx="131">
                  <c:v>19.505320999999999</c:v>
                </c:pt>
                <c:pt idx="132">
                  <c:v>0.64511099999999999</c:v>
                </c:pt>
                <c:pt idx="133">
                  <c:v>15.647807999999999</c:v>
                </c:pt>
                <c:pt idx="134">
                  <c:v>14.113882</c:v>
                </c:pt>
                <c:pt idx="135">
                  <c:v>8.2390869999999996</c:v>
                </c:pt>
                <c:pt idx="136">
                  <c:v>0.59093300000000004</c:v>
                </c:pt>
                <c:pt idx="137">
                  <c:v>5.7073309999999999</c:v>
                </c:pt>
                <c:pt idx="138">
                  <c:v>7.8033789999999996</c:v>
                </c:pt>
                <c:pt idx="139">
                  <c:v>8.2744060000000008</c:v>
                </c:pt>
                <c:pt idx="140">
                  <c:v>9.2523970000000002</c:v>
                </c:pt>
                <c:pt idx="141">
                  <c:v>8.8258960000000002</c:v>
                </c:pt>
                <c:pt idx="142">
                  <c:v>7.419022</c:v>
                </c:pt>
                <c:pt idx="143">
                  <c:v>16.000675000000001</c:v>
                </c:pt>
                <c:pt idx="144">
                  <c:v>27.274122999999999</c:v>
                </c:pt>
                <c:pt idx="145">
                  <c:v>12.936588</c:v>
                </c:pt>
                <c:pt idx="146">
                  <c:v>19.808254999999999</c:v>
                </c:pt>
                <c:pt idx="147">
                  <c:v>12.268090000000001</c:v>
                </c:pt>
                <c:pt idx="148">
                  <c:v>25.255050000000001</c:v>
                </c:pt>
                <c:pt idx="149">
                  <c:v>12.471719</c:v>
                </c:pt>
                <c:pt idx="150">
                  <c:v>13.715752</c:v>
                </c:pt>
                <c:pt idx="151">
                  <c:v>10.440286</c:v>
                </c:pt>
                <c:pt idx="152">
                  <c:v>13.087624</c:v>
                </c:pt>
                <c:pt idx="153">
                  <c:v>15.028966</c:v>
                </c:pt>
                <c:pt idx="154">
                  <c:v>18.188129</c:v>
                </c:pt>
                <c:pt idx="155">
                  <c:v>16.681331</c:v>
                </c:pt>
                <c:pt idx="156">
                  <c:v>30.950814000000001</c:v>
                </c:pt>
                <c:pt idx="157">
                  <c:v>9.5803609999999999</c:v>
                </c:pt>
                <c:pt idx="158">
                  <c:v>10.87491</c:v>
                </c:pt>
                <c:pt idx="159">
                  <c:v>13.635738</c:v>
                </c:pt>
                <c:pt idx="160">
                  <c:v>8.5142720000000001</c:v>
                </c:pt>
                <c:pt idx="161">
                  <c:v>9.8143609999999999</c:v>
                </c:pt>
                <c:pt idx="162">
                  <c:v>11.514878</c:v>
                </c:pt>
                <c:pt idx="163">
                  <c:v>9.0805430000000005</c:v>
                </c:pt>
                <c:pt idx="164">
                  <c:v>8.4951039999999995</c:v>
                </c:pt>
                <c:pt idx="165">
                  <c:v>18.352457999999999</c:v>
                </c:pt>
                <c:pt idx="166">
                  <c:v>14.324064999999999</c:v>
                </c:pt>
                <c:pt idx="167">
                  <c:v>19.364173999999998</c:v>
                </c:pt>
                <c:pt idx="168">
                  <c:v>10.915863</c:v>
                </c:pt>
                <c:pt idx="169">
                  <c:v>6.8117720000000004</c:v>
                </c:pt>
                <c:pt idx="170">
                  <c:v>8.1233369999999994</c:v>
                </c:pt>
                <c:pt idx="171">
                  <c:v>5.8240889999999998</c:v>
                </c:pt>
                <c:pt idx="172">
                  <c:v>9.0051570000000005</c:v>
                </c:pt>
                <c:pt idx="173">
                  <c:v>12.196187</c:v>
                </c:pt>
                <c:pt idx="174">
                  <c:v>9.8695070000000005</c:v>
                </c:pt>
                <c:pt idx="175">
                  <c:v>4.822343</c:v>
                </c:pt>
                <c:pt idx="176">
                  <c:v>6.7302559999999998</c:v>
                </c:pt>
                <c:pt idx="177">
                  <c:v>7.2407950000000003</c:v>
                </c:pt>
                <c:pt idx="178">
                  <c:v>9.7807729999999999</c:v>
                </c:pt>
                <c:pt idx="179">
                  <c:v>8.5327549999999999</c:v>
                </c:pt>
                <c:pt idx="180">
                  <c:v>6.8969889999999996</c:v>
                </c:pt>
                <c:pt idx="181">
                  <c:v>8.5788440000000001</c:v>
                </c:pt>
                <c:pt idx="182">
                  <c:v>6.2203600000000003</c:v>
                </c:pt>
                <c:pt idx="183">
                  <c:v>9.9305330000000005</c:v>
                </c:pt>
                <c:pt idx="184">
                  <c:v>6.8071919999999997</c:v>
                </c:pt>
                <c:pt idx="185">
                  <c:v>6.845218</c:v>
                </c:pt>
                <c:pt idx="186">
                  <c:v>8.2567330000000005</c:v>
                </c:pt>
                <c:pt idx="187">
                  <c:v>14.185298</c:v>
                </c:pt>
                <c:pt idx="188">
                  <c:v>15.990899000000001</c:v>
                </c:pt>
                <c:pt idx="189">
                  <c:v>13.670465</c:v>
                </c:pt>
                <c:pt idx="190">
                  <c:v>12.317124</c:v>
                </c:pt>
                <c:pt idx="191">
                  <c:v>21.409935000000001</c:v>
                </c:pt>
                <c:pt idx="192">
                  <c:v>13.703918</c:v>
                </c:pt>
                <c:pt idx="193">
                  <c:v>9.9467180000000006</c:v>
                </c:pt>
                <c:pt idx="194">
                  <c:v>16.690068</c:v>
                </c:pt>
                <c:pt idx="195">
                  <c:v>14.83989</c:v>
                </c:pt>
                <c:pt idx="196">
                  <c:v>13.203184</c:v>
                </c:pt>
                <c:pt idx="197">
                  <c:v>12.601006</c:v>
                </c:pt>
                <c:pt idx="198">
                  <c:v>8.0362150000000003</c:v>
                </c:pt>
                <c:pt idx="199">
                  <c:v>9.0284060000000004</c:v>
                </c:pt>
                <c:pt idx="200">
                  <c:v>7.0066290000000002</c:v>
                </c:pt>
                <c:pt idx="201">
                  <c:v>17.873926000000001</c:v>
                </c:pt>
                <c:pt idx="202">
                  <c:v>18.508835000000001</c:v>
                </c:pt>
                <c:pt idx="203">
                  <c:v>20.789182</c:v>
                </c:pt>
                <c:pt idx="204">
                  <c:v>13.041074999999999</c:v>
                </c:pt>
                <c:pt idx="205">
                  <c:v>10.473122999999999</c:v>
                </c:pt>
                <c:pt idx="206">
                  <c:v>8.7749880000000005</c:v>
                </c:pt>
                <c:pt idx="207">
                  <c:v>13.212522999999999</c:v>
                </c:pt>
                <c:pt idx="208">
                  <c:v>12.598933000000001</c:v>
                </c:pt>
                <c:pt idx="209">
                  <c:v>13.216486</c:v>
                </c:pt>
                <c:pt idx="210">
                  <c:v>14.973380000000001</c:v>
                </c:pt>
                <c:pt idx="211">
                  <c:v>30.656238999999999</c:v>
                </c:pt>
                <c:pt idx="212">
                  <c:v>21.478546999999999</c:v>
                </c:pt>
                <c:pt idx="213">
                  <c:v>431.85162200000002</c:v>
                </c:pt>
                <c:pt idx="214">
                  <c:v>26.986021999999998</c:v>
                </c:pt>
                <c:pt idx="215">
                  <c:v>13.107661999999999</c:v>
                </c:pt>
                <c:pt idx="216">
                  <c:v>18.536884000000001</c:v>
                </c:pt>
                <c:pt idx="217">
                  <c:v>19.451749</c:v>
                </c:pt>
                <c:pt idx="218">
                  <c:v>5.7766719999999996</c:v>
                </c:pt>
                <c:pt idx="219">
                  <c:v>9.8684139999999996</c:v>
                </c:pt>
                <c:pt idx="220">
                  <c:v>7.5438539999999996</c:v>
                </c:pt>
                <c:pt idx="221">
                  <c:v>16.402035000000001</c:v>
                </c:pt>
                <c:pt idx="222">
                  <c:v>24.26351</c:v>
                </c:pt>
                <c:pt idx="223">
                  <c:v>9.5573090000000001</c:v>
                </c:pt>
                <c:pt idx="224">
                  <c:v>14.976369</c:v>
                </c:pt>
                <c:pt idx="225">
                  <c:v>8.0318909999999999</c:v>
                </c:pt>
                <c:pt idx="226">
                  <c:v>8.2265119999999996</c:v>
                </c:pt>
                <c:pt idx="227">
                  <c:v>19.93796</c:v>
                </c:pt>
                <c:pt idx="228">
                  <c:v>9.7103610000000007</c:v>
                </c:pt>
                <c:pt idx="229">
                  <c:v>15.026567999999999</c:v>
                </c:pt>
                <c:pt idx="230">
                  <c:v>11.525304999999999</c:v>
                </c:pt>
                <c:pt idx="231">
                  <c:v>12.769461</c:v>
                </c:pt>
                <c:pt idx="232">
                  <c:v>10.026546</c:v>
                </c:pt>
                <c:pt idx="233">
                  <c:v>11.18993</c:v>
                </c:pt>
                <c:pt idx="234">
                  <c:v>6.2870949999999999</c:v>
                </c:pt>
                <c:pt idx="235">
                  <c:v>22.944376999999999</c:v>
                </c:pt>
                <c:pt idx="236">
                  <c:v>26.064088999999999</c:v>
                </c:pt>
                <c:pt idx="237">
                  <c:v>19.566317000000002</c:v>
                </c:pt>
                <c:pt idx="238">
                  <c:v>32.031936000000002</c:v>
                </c:pt>
                <c:pt idx="239">
                  <c:v>27.388235999999999</c:v>
                </c:pt>
                <c:pt idx="240">
                  <c:v>22.410216999999999</c:v>
                </c:pt>
                <c:pt idx="241">
                  <c:v>13.034594</c:v>
                </c:pt>
                <c:pt idx="242">
                  <c:v>11.685879999999999</c:v>
                </c:pt>
                <c:pt idx="243">
                  <c:v>8.9393560000000001</c:v>
                </c:pt>
                <c:pt idx="244">
                  <c:v>21.785571999999998</c:v>
                </c:pt>
                <c:pt idx="245">
                  <c:v>18.600795999999999</c:v>
                </c:pt>
                <c:pt idx="246">
                  <c:v>26.762865999999999</c:v>
                </c:pt>
                <c:pt idx="247">
                  <c:v>18.627592</c:v>
                </c:pt>
                <c:pt idx="248">
                  <c:v>7.0595660000000002</c:v>
                </c:pt>
                <c:pt idx="249">
                  <c:v>8.0013229999999993</c:v>
                </c:pt>
                <c:pt idx="250">
                  <c:v>15.206239999999999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3-4E36-BEA3-F42A4731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630431"/>
        <c:axId val="1118572831"/>
      </c:barChart>
      <c:dateAx>
        <c:axId val="111863043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72831"/>
        <c:crosses val="autoZero"/>
        <c:auto val="1"/>
        <c:lblOffset val="100"/>
        <c:baseTimeUnit val="days"/>
      </c:dateAx>
      <c:valAx>
        <c:axId val="1118572831"/>
        <c:scaling>
          <c:orientation val="minMax"/>
          <c:max val="4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'Input Sheet'!$N$20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10-46E9-B6BA-48C2E56F78CF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E10-46E9-B6BA-48C2E56F78CF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10-46E9-B6BA-48C2E56F78CF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10-46E9-B6BA-48C2E56F78C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10-46E9-B6BA-48C2E56F78CF}"/>
              </c:ext>
            </c:extLst>
          </c:dPt>
          <c:dLbls>
            <c:dLbl>
              <c:idx val="1"/>
              <c:layout>
                <c:manualLayout>
                  <c:x val="5.7662839020122487E-2"/>
                  <c:y val="-0.1419615777194517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10-46E9-B6BA-48C2E56F78CF}"/>
                </c:ext>
              </c:extLst>
            </c:dLbl>
            <c:dLbl>
              <c:idx val="2"/>
              <c:layout>
                <c:manualLayout>
                  <c:x val="8.9096566054243223E-2"/>
                  <c:y val="6.09288422280548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10-46E9-B6BA-48C2E56F78C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E10-46E9-B6BA-48C2E56F78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'Input Sheet'!$L$21:$L$25</c:f>
              <c:strCache>
                <c:ptCount val="5"/>
                <c:pt idx="0">
                  <c:v>Cigarettes</c:v>
                </c:pt>
                <c:pt idx="1">
                  <c:v>FMCG (Non-Cig)</c:v>
                </c:pt>
                <c:pt idx="2">
                  <c:v>Agri Business</c:v>
                </c:pt>
                <c:pt idx="3">
                  <c:v>Paper &amp; Packaging</c:v>
                </c:pt>
                <c:pt idx="4">
                  <c:v>Hotels</c:v>
                </c:pt>
              </c:strCache>
            </c:strRef>
          </c:cat>
          <c:val>
            <c:numRef>
              <c:f>'Input Sheet'!$N$21:$N$25</c:f>
              <c:numCache>
                <c:formatCode>0%</c:formatCode>
                <c:ptCount val="5"/>
                <c:pt idx="0">
                  <c:v>0.43</c:v>
                </c:pt>
                <c:pt idx="1">
                  <c:v>0.28999999999999998</c:v>
                </c:pt>
                <c:pt idx="2">
                  <c:v>0.2</c:v>
                </c:pt>
                <c:pt idx="3">
                  <c:v>7.0000000000000007E-2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0-46E9-B6BA-48C2E56F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303651381812565"/>
          <c:y val="7.8014184397163122E-2"/>
          <c:w val="0.61092172301991665"/>
          <c:h val="0.8993030658401742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08-4126-A7E9-705B1B71A91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08-4126-A7E9-705B1B71A9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'Input Sheet'!$F$28:$F$30</c:f>
              <c:strCache>
                <c:ptCount val="3"/>
                <c:pt idx="0">
                  <c:v>FIIs </c:v>
                </c:pt>
                <c:pt idx="1">
                  <c:v>DIIs </c:v>
                </c:pt>
                <c:pt idx="2">
                  <c:v> Public &amp; Gov.</c:v>
                </c:pt>
              </c:strCache>
            </c:strRef>
          </c:cat>
          <c:val>
            <c:numRef>
              <c:f>'Input Sheet'!$G$28:$G$30</c:f>
              <c:numCache>
                <c:formatCode>0.00%</c:formatCode>
                <c:ptCount val="3"/>
                <c:pt idx="0">
                  <c:v>0.36109999999999998</c:v>
                </c:pt>
                <c:pt idx="1">
                  <c:v>0.48899999999999999</c:v>
                </c:pt>
                <c:pt idx="2">
                  <c:v>0.14990000000000001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8-4126-A7E9-705B1B71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620351"/>
        <c:axId val="1118620831"/>
      </c:barChart>
      <c:catAx>
        <c:axId val="111862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20831"/>
        <c:crosses val="autoZero"/>
        <c:auto val="1"/>
        <c:lblAlgn val="ctr"/>
        <c:lblOffset val="100"/>
        <c:noMultiLvlLbl val="0"/>
      </c:catAx>
      <c:valAx>
        <c:axId val="111862083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186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4250066567766"/>
          <c:y val="7.6388888888888895E-2"/>
          <c:w val="0.79018981322986803"/>
          <c:h val="0.58384437239462728"/>
        </c:manualLayout>
      </c:layout>
      <c:lineChart>
        <c:grouping val="standard"/>
        <c:varyColors val="0"/>
        <c:ser>
          <c:idx val="0"/>
          <c:order val="0"/>
          <c:tx>
            <c:strRef>
              <c:f>'Input Sheet'!$C$2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'Input Sheet'!$B$3:$B$253</c:f>
              <c:numCache>
                <c:formatCode>d\-mmm\-yy</c:formatCode>
                <c:ptCount val="251"/>
                <c:pt idx="0">
                  <c:v>46113</c:v>
                </c:pt>
                <c:pt idx="1">
                  <c:v>46111</c:v>
                </c:pt>
                <c:pt idx="2">
                  <c:v>46108</c:v>
                </c:pt>
                <c:pt idx="3">
                  <c:v>46106</c:v>
                </c:pt>
                <c:pt idx="4">
                  <c:v>46105</c:v>
                </c:pt>
                <c:pt idx="5">
                  <c:v>46104</c:v>
                </c:pt>
                <c:pt idx="6">
                  <c:v>46101</c:v>
                </c:pt>
                <c:pt idx="7">
                  <c:v>46100</c:v>
                </c:pt>
                <c:pt idx="8">
                  <c:v>46099</c:v>
                </c:pt>
                <c:pt idx="9">
                  <c:v>46098</c:v>
                </c:pt>
                <c:pt idx="10">
                  <c:v>46097</c:v>
                </c:pt>
                <c:pt idx="11">
                  <c:v>46094</c:v>
                </c:pt>
                <c:pt idx="12">
                  <c:v>46093</c:v>
                </c:pt>
                <c:pt idx="13">
                  <c:v>46092</c:v>
                </c:pt>
                <c:pt idx="14">
                  <c:v>46091</c:v>
                </c:pt>
                <c:pt idx="15">
                  <c:v>46090</c:v>
                </c:pt>
                <c:pt idx="16">
                  <c:v>46087</c:v>
                </c:pt>
                <c:pt idx="17">
                  <c:v>46086</c:v>
                </c:pt>
                <c:pt idx="18">
                  <c:v>46085</c:v>
                </c:pt>
                <c:pt idx="19">
                  <c:v>46083</c:v>
                </c:pt>
                <c:pt idx="20">
                  <c:v>46080</c:v>
                </c:pt>
                <c:pt idx="21">
                  <c:v>46079</c:v>
                </c:pt>
                <c:pt idx="22">
                  <c:v>46078</c:v>
                </c:pt>
                <c:pt idx="23">
                  <c:v>46077</c:v>
                </c:pt>
                <c:pt idx="24">
                  <c:v>46076</c:v>
                </c:pt>
                <c:pt idx="25">
                  <c:v>46073</c:v>
                </c:pt>
                <c:pt idx="26">
                  <c:v>46072</c:v>
                </c:pt>
                <c:pt idx="27">
                  <c:v>46071</c:v>
                </c:pt>
                <c:pt idx="28">
                  <c:v>46070</c:v>
                </c:pt>
                <c:pt idx="29">
                  <c:v>46069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46054</c:v>
                </c:pt>
                <c:pt idx="41">
                  <c:v>46052</c:v>
                </c:pt>
                <c:pt idx="42">
                  <c:v>46051</c:v>
                </c:pt>
                <c:pt idx="43">
                  <c:v>46050</c:v>
                </c:pt>
                <c:pt idx="44">
                  <c:v>46049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46036</c:v>
                </c:pt>
                <c:pt idx="52">
                  <c:v>46035</c:v>
                </c:pt>
                <c:pt idx="53">
                  <c:v>46034</c:v>
                </c:pt>
                <c:pt idx="54">
                  <c:v>46031</c:v>
                </c:pt>
                <c:pt idx="55">
                  <c:v>46030</c:v>
                </c:pt>
                <c:pt idx="56">
                  <c:v>46029</c:v>
                </c:pt>
                <c:pt idx="57">
                  <c:v>46028</c:v>
                </c:pt>
                <c:pt idx="58">
                  <c:v>46027</c:v>
                </c:pt>
                <c:pt idx="59">
                  <c:v>46024</c:v>
                </c:pt>
                <c:pt idx="60">
                  <c:v>46023</c:v>
                </c:pt>
                <c:pt idx="61">
                  <c:v>46022</c:v>
                </c:pt>
                <c:pt idx="62">
                  <c:v>46021</c:v>
                </c:pt>
                <c:pt idx="63">
                  <c:v>46020</c:v>
                </c:pt>
                <c:pt idx="64">
                  <c:v>46017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45979</c:v>
                </c:pt>
                <c:pt idx="93">
                  <c:v>45978</c:v>
                </c:pt>
                <c:pt idx="94">
                  <c:v>45975</c:v>
                </c:pt>
                <c:pt idx="95">
                  <c:v>45974</c:v>
                </c:pt>
                <c:pt idx="96">
                  <c:v>45973</c:v>
                </c:pt>
                <c:pt idx="97">
                  <c:v>45972</c:v>
                </c:pt>
                <c:pt idx="98">
                  <c:v>45971</c:v>
                </c:pt>
                <c:pt idx="99">
                  <c:v>45968</c:v>
                </c:pt>
                <c:pt idx="100">
                  <c:v>45967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45951</c:v>
                </c:pt>
                <c:pt idx="111">
                  <c:v>45950</c:v>
                </c:pt>
                <c:pt idx="112">
                  <c:v>45947</c:v>
                </c:pt>
                <c:pt idx="113">
                  <c:v>45946</c:v>
                </c:pt>
                <c:pt idx="114">
                  <c:v>45945</c:v>
                </c:pt>
                <c:pt idx="115">
                  <c:v>45944</c:v>
                </c:pt>
                <c:pt idx="116">
                  <c:v>45943</c:v>
                </c:pt>
                <c:pt idx="117">
                  <c:v>45940</c:v>
                </c:pt>
                <c:pt idx="118">
                  <c:v>45939</c:v>
                </c:pt>
                <c:pt idx="119">
                  <c:v>45938</c:v>
                </c:pt>
                <c:pt idx="120">
                  <c:v>45937</c:v>
                </c:pt>
                <c:pt idx="121">
                  <c:v>45936</c:v>
                </c:pt>
                <c:pt idx="122">
                  <c:v>45933</c:v>
                </c:pt>
                <c:pt idx="123">
                  <c:v>45931</c:v>
                </c:pt>
                <c:pt idx="124">
                  <c:v>45930</c:v>
                </c:pt>
                <c:pt idx="125">
                  <c:v>45929</c:v>
                </c:pt>
                <c:pt idx="126">
                  <c:v>45926</c:v>
                </c:pt>
                <c:pt idx="127">
                  <c:v>45925</c:v>
                </c:pt>
                <c:pt idx="128">
                  <c:v>45924</c:v>
                </c:pt>
                <c:pt idx="129">
                  <c:v>45923</c:v>
                </c:pt>
                <c:pt idx="130">
                  <c:v>45922</c:v>
                </c:pt>
                <c:pt idx="131">
                  <c:v>45919</c:v>
                </c:pt>
                <c:pt idx="132">
                  <c:v>45918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45916</c:v>
                </c:pt>
                <c:pt idx="137">
                  <c:v>45915</c:v>
                </c:pt>
                <c:pt idx="138">
                  <c:v>45912</c:v>
                </c:pt>
                <c:pt idx="139">
                  <c:v>45911</c:v>
                </c:pt>
                <c:pt idx="140">
                  <c:v>45910</c:v>
                </c:pt>
                <c:pt idx="141">
                  <c:v>45909</c:v>
                </c:pt>
                <c:pt idx="142">
                  <c:v>45908</c:v>
                </c:pt>
                <c:pt idx="143">
                  <c:v>45905</c:v>
                </c:pt>
                <c:pt idx="144">
                  <c:v>45904</c:v>
                </c:pt>
                <c:pt idx="145">
                  <c:v>45903</c:v>
                </c:pt>
                <c:pt idx="146">
                  <c:v>45902</c:v>
                </c:pt>
                <c:pt idx="147">
                  <c:v>45901</c:v>
                </c:pt>
                <c:pt idx="148">
                  <c:v>45898</c:v>
                </c:pt>
                <c:pt idx="149">
                  <c:v>45897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45814</c:v>
                </c:pt>
                <c:pt idx="207">
                  <c:v>45813</c:v>
                </c:pt>
                <c:pt idx="208">
                  <c:v>45812</c:v>
                </c:pt>
                <c:pt idx="209">
                  <c:v>45811</c:v>
                </c:pt>
                <c:pt idx="210">
                  <c:v>45810</c:v>
                </c:pt>
                <c:pt idx="211">
                  <c:v>45807</c:v>
                </c:pt>
                <c:pt idx="212">
                  <c:v>45806</c:v>
                </c:pt>
                <c:pt idx="213">
                  <c:v>45805</c:v>
                </c:pt>
                <c:pt idx="214">
                  <c:v>45804</c:v>
                </c:pt>
                <c:pt idx="215">
                  <c:v>45803</c:v>
                </c:pt>
                <c:pt idx="216">
                  <c:v>45800</c:v>
                </c:pt>
                <c:pt idx="217">
                  <c:v>45799</c:v>
                </c:pt>
                <c:pt idx="218">
                  <c:v>45798</c:v>
                </c:pt>
                <c:pt idx="219">
                  <c:v>45797</c:v>
                </c:pt>
                <c:pt idx="220">
                  <c:v>45796</c:v>
                </c:pt>
                <c:pt idx="221">
                  <c:v>45793</c:v>
                </c:pt>
                <c:pt idx="222">
                  <c:v>45792</c:v>
                </c:pt>
                <c:pt idx="223">
                  <c:v>45791</c:v>
                </c:pt>
                <c:pt idx="224">
                  <c:v>45790</c:v>
                </c:pt>
                <c:pt idx="225">
                  <c:v>45789</c:v>
                </c:pt>
                <c:pt idx="226">
                  <c:v>45786</c:v>
                </c:pt>
                <c:pt idx="227">
                  <c:v>45785</c:v>
                </c:pt>
                <c:pt idx="228">
                  <c:v>45784</c:v>
                </c:pt>
                <c:pt idx="229">
                  <c:v>45783</c:v>
                </c:pt>
                <c:pt idx="230">
                  <c:v>45782</c:v>
                </c:pt>
                <c:pt idx="231">
                  <c:v>45779</c:v>
                </c:pt>
                <c:pt idx="232">
                  <c:v>45777</c:v>
                </c:pt>
                <c:pt idx="233">
                  <c:v>45776</c:v>
                </c:pt>
                <c:pt idx="234">
                  <c:v>45775</c:v>
                </c:pt>
                <c:pt idx="235">
                  <c:v>45772</c:v>
                </c:pt>
                <c:pt idx="236">
                  <c:v>45771</c:v>
                </c:pt>
                <c:pt idx="237">
                  <c:v>45770</c:v>
                </c:pt>
                <c:pt idx="238">
                  <c:v>45769</c:v>
                </c:pt>
                <c:pt idx="239">
                  <c:v>45768</c:v>
                </c:pt>
                <c:pt idx="240">
                  <c:v>45764</c:v>
                </c:pt>
                <c:pt idx="241">
                  <c:v>45763</c:v>
                </c:pt>
                <c:pt idx="242">
                  <c:v>45762</c:v>
                </c:pt>
                <c:pt idx="243">
                  <c:v>45758</c:v>
                </c:pt>
                <c:pt idx="244">
                  <c:v>45756</c:v>
                </c:pt>
                <c:pt idx="245">
                  <c:v>45755</c:v>
                </c:pt>
                <c:pt idx="246">
                  <c:v>45754</c:v>
                </c:pt>
                <c:pt idx="247">
                  <c:v>45751</c:v>
                </c:pt>
                <c:pt idx="248">
                  <c:v>45750</c:v>
                </c:pt>
                <c:pt idx="249">
                  <c:v>45749</c:v>
                </c:pt>
                <c:pt idx="250">
                  <c:v>45748</c:v>
                </c:pt>
              </c:numCache>
            </c:numRef>
          </c:cat>
          <c:val>
            <c:numRef>
              <c:f>'Input Sheet'!$C$3:$C$253</c:f>
              <c:numCache>
                <c:formatCode>General</c:formatCode>
                <c:ptCount val="251"/>
                <c:pt idx="0">
                  <c:v>291.7</c:v>
                </c:pt>
                <c:pt idx="1">
                  <c:v>287.7</c:v>
                </c:pt>
                <c:pt idx="2">
                  <c:v>294.7</c:v>
                </c:pt>
                <c:pt idx="3">
                  <c:v>295.7</c:v>
                </c:pt>
                <c:pt idx="4">
                  <c:v>291.25</c:v>
                </c:pt>
                <c:pt idx="5">
                  <c:v>290.45</c:v>
                </c:pt>
                <c:pt idx="6">
                  <c:v>299.95</c:v>
                </c:pt>
                <c:pt idx="7">
                  <c:v>298</c:v>
                </c:pt>
                <c:pt idx="8">
                  <c:v>304.05</c:v>
                </c:pt>
                <c:pt idx="9">
                  <c:v>304.85000000000002</c:v>
                </c:pt>
                <c:pt idx="10">
                  <c:v>308.25</c:v>
                </c:pt>
                <c:pt idx="11">
                  <c:v>301.45</c:v>
                </c:pt>
                <c:pt idx="12">
                  <c:v>304.10000000000002</c:v>
                </c:pt>
                <c:pt idx="13">
                  <c:v>309</c:v>
                </c:pt>
                <c:pt idx="14">
                  <c:v>309.05</c:v>
                </c:pt>
                <c:pt idx="15">
                  <c:v>306</c:v>
                </c:pt>
                <c:pt idx="16">
                  <c:v>309.7</c:v>
                </c:pt>
                <c:pt idx="17">
                  <c:v>311.5</c:v>
                </c:pt>
                <c:pt idx="18">
                  <c:v>311.95</c:v>
                </c:pt>
                <c:pt idx="19">
                  <c:v>314.89999999999998</c:v>
                </c:pt>
                <c:pt idx="20">
                  <c:v>313.60000000000002</c:v>
                </c:pt>
                <c:pt idx="21">
                  <c:v>318.3</c:v>
                </c:pt>
                <c:pt idx="22">
                  <c:v>319.75</c:v>
                </c:pt>
                <c:pt idx="23">
                  <c:v>323.5</c:v>
                </c:pt>
                <c:pt idx="24">
                  <c:v>325.39999999999998</c:v>
                </c:pt>
                <c:pt idx="25">
                  <c:v>327</c:v>
                </c:pt>
                <c:pt idx="26">
                  <c:v>326</c:v>
                </c:pt>
                <c:pt idx="27">
                  <c:v>332.45</c:v>
                </c:pt>
                <c:pt idx="28">
                  <c:v>325.45</c:v>
                </c:pt>
                <c:pt idx="29">
                  <c:v>317.95</c:v>
                </c:pt>
                <c:pt idx="30">
                  <c:v>313.75</c:v>
                </c:pt>
                <c:pt idx="31">
                  <c:v>317.45</c:v>
                </c:pt>
                <c:pt idx="32">
                  <c:v>318.25</c:v>
                </c:pt>
                <c:pt idx="33">
                  <c:v>321.39999999999998</c:v>
                </c:pt>
                <c:pt idx="34">
                  <c:v>322.8</c:v>
                </c:pt>
                <c:pt idx="35">
                  <c:v>325.8</c:v>
                </c:pt>
                <c:pt idx="36">
                  <c:v>310.2</c:v>
                </c:pt>
                <c:pt idx="37">
                  <c:v>313.85000000000002</c:v>
                </c:pt>
                <c:pt idx="38">
                  <c:v>316.64999999999998</c:v>
                </c:pt>
                <c:pt idx="39">
                  <c:v>314.7</c:v>
                </c:pt>
                <c:pt idx="40">
                  <c:v>309.45</c:v>
                </c:pt>
                <c:pt idx="41">
                  <c:v>322.14999999999998</c:v>
                </c:pt>
                <c:pt idx="42">
                  <c:v>318.60000000000002</c:v>
                </c:pt>
                <c:pt idx="43">
                  <c:v>321.14999999999998</c:v>
                </c:pt>
                <c:pt idx="44">
                  <c:v>318.64999999999998</c:v>
                </c:pt>
                <c:pt idx="45">
                  <c:v>323.39999999999998</c:v>
                </c:pt>
                <c:pt idx="46">
                  <c:v>324.85000000000002</c:v>
                </c:pt>
                <c:pt idx="47">
                  <c:v>324.75</c:v>
                </c:pt>
                <c:pt idx="48">
                  <c:v>326.3</c:v>
                </c:pt>
                <c:pt idx="49">
                  <c:v>333.2</c:v>
                </c:pt>
                <c:pt idx="50">
                  <c:v>329.2</c:v>
                </c:pt>
                <c:pt idx="51">
                  <c:v>334.75</c:v>
                </c:pt>
                <c:pt idx="52">
                  <c:v>334.7</c:v>
                </c:pt>
                <c:pt idx="53">
                  <c:v>338.4</c:v>
                </c:pt>
                <c:pt idx="54">
                  <c:v>337.15</c:v>
                </c:pt>
                <c:pt idx="55">
                  <c:v>340.9</c:v>
                </c:pt>
                <c:pt idx="56">
                  <c:v>341.25</c:v>
                </c:pt>
                <c:pt idx="57">
                  <c:v>342.45</c:v>
                </c:pt>
                <c:pt idx="58">
                  <c:v>349.7</c:v>
                </c:pt>
                <c:pt idx="59">
                  <c:v>350.05</c:v>
                </c:pt>
                <c:pt idx="60">
                  <c:v>363.85</c:v>
                </c:pt>
                <c:pt idx="61">
                  <c:v>403</c:v>
                </c:pt>
                <c:pt idx="62">
                  <c:v>400.6</c:v>
                </c:pt>
                <c:pt idx="63">
                  <c:v>402.6</c:v>
                </c:pt>
                <c:pt idx="64">
                  <c:v>404.15</c:v>
                </c:pt>
                <c:pt idx="65">
                  <c:v>406.6</c:v>
                </c:pt>
                <c:pt idx="66">
                  <c:v>407.35</c:v>
                </c:pt>
                <c:pt idx="67">
                  <c:v>402.7</c:v>
                </c:pt>
                <c:pt idx="68">
                  <c:v>401.05</c:v>
                </c:pt>
                <c:pt idx="69">
                  <c:v>400.4</c:v>
                </c:pt>
                <c:pt idx="70">
                  <c:v>399.8</c:v>
                </c:pt>
                <c:pt idx="71">
                  <c:v>401.7</c:v>
                </c:pt>
                <c:pt idx="72">
                  <c:v>402.3</c:v>
                </c:pt>
                <c:pt idx="73">
                  <c:v>400.1</c:v>
                </c:pt>
                <c:pt idx="74">
                  <c:v>402.9</c:v>
                </c:pt>
                <c:pt idx="75">
                  <c:v>403.15</c:v>
                </c:pt>
                <c:pt idx="76">
                  <c:v>401.05</c:v>
                </c:pt>
                <c:pt idx="77">
                  <c:v>402.3</c:v>
                </c:pt>
                <c:pt idx="78">
                  <c:v>404.95</c:v>
                </c:pt>
                <c:pt idx="79">
                  <c:v>403.05</c:v>
                </c:pt>
                <c:pt idx="80">
                  <c:v>400.5</c:v>
                </c:pt>
                <c:pt idx="81">
                  <c:v>400.95</c:v>
                </c:pt>
                <c:pt idx="82">
                  <c:v>404.25</c:v>
                </c:pt>
                <c:pt idx="83">
                  <c:v>404.25</c:v>
                </c:pt>
                <c:pt idx="84">
                  <c:v>404.3</c:v>
                </c:pt>
                <c:pt idx="85">
                  <c:v>402.3</c:v>
                </c:pt>
                <c:pt idx="86">
                  <c:v>400.8</c:v>
                </c:pt>
                <c:pt idx="87">
                  <c:v>403.55</c:v>
                </c:pt>
                <c:pt idx="88">
                  <c:v>407.85</c:v>
                </c:pt>
                <c:pt idx="89">
                  <c:v>405.45</c:v>
                </c:pt>
                <c:pt idx="90">
                  <c:v>403.55</c:v>
                </c:pt>
                <c:pt idx="91">
                  <c:v>405.85</c:v>
                </c:pt>
                <c:pt idx="92">
                  <c:v>407.1</c:v>
                </c:pt>
                <c:pt idx="93">
                  <c:v>407.1</c:v>
                </c:pt>
                <c:pt idx="94">
                  <c:v>408.15</c:v>
                </c:pt>
                <c:pt idx="95">
                  <c:v>405.7</c:v>
                </c:pt>
                <c:pt idx="96">
                  <c:v>407</c:v>
                </c:pt>
                <c:pt idx="97">
                  <c:v>406.85</c:v>
                </c:pt>
                <c:pt idx="98">
                  <c:v>405.55</c:v>
                </c:pt>
                <c:pt idx="99">
                  <c:v>404.05</c:v>
                </c:pt>
                <c:pt idx="100">
                  <c:v>407.5</c:v>
                </c:pt>
                <c:pt idx="101">
                  <c:v>408.9</c:v>
                </c:pt>
                <c:pt idx="102">
                  <c:v>413.95</c:v>
                </c:pt>
                <c:pt idx="103">
                  <c:v>420.35</c:v>
                </c:pt>
                <c:pt idx="104">
                  <c:v>418.75</c:v>
                </c:pt>
                <c:pt idx="105">
                  <c:v>421.6</c:v>
                </c:pt>
                <c:pt idx="106">
                  <c:v>417.9</c:v>
                </c:pt>
                <c:pt idx="107">
                  <c:v>420.65</c:v>
                </c:pt>
                <c:pt idx="108">
                  <c:v>416.8</c:v>
                </c:pt>
                <c:pt idx="109">
                  <c:v>415.95</c:v>
                </c:pt>
                <c:pt idx="110">
                  <c:v>412.85</c:v>
                </c:pt>
                <c:pt idx="111">
                  <c:v>413.05</c:v>
                </c:pt>
                <c:pt idx="112">
                  <c:v>412.15</c:v>
                </c:pt>
                <c:pt idx="113">
                  <c:v>405.15</c:v>
                </c:pt>
                <c:pt idx="114">
                  <c:v>399.9</c:v>
                </c:pt>
                <c:pt idx="115">
                  <c:v>396.8</c:v>
                </c:pt>
                <c:pt idx="116">
                  <c:v>399.25</c:v>
                </c:pt>
                <c:pt idx="117">
                  <c:v>402.8</c:v>
                </c:pt>
                <c:pt idx="118">
                  <c:v>399.9</c:v>
                </c:pt>
                <c:pt idx="119">
                  <c:v>399.75</c:v>
                </c:pt>
                <c:pt idx="120">
                  <c:v>399.8</c:v>
                </c:pt>
                <c:pt idx="121">
                  <c:v>400.75</c:v>
                </c:pt>
                <c:pt idx="122">
                  <c:v>404.3</c:v>
                </c:pt>
                <c:pt idx="123">
                  <c:v>405.6</c:v>
                </c:pt>
                <c:pt idx="124">
                  <c:v>401.55</c:v>
                </c:pt>
                <c:pt idx="125">
                  <c:v>407.25</c:v>
                </c:pt>
                <c:pt idx="126">
                  <c:v>405.1</c:v>
                </c:pt>
                <c:pt idx="127">
                  <c:v>400.1</c:v>
                </c:pt>
                <c:pt idx="128">
                  <c:v>401</c:v>
                </c:pt>
                <c:pt idx="129">
                  <c:v>403.2</c:v>
                </c:pt>
                <c:pt idx="130">
                  <c:v>406.95</c:v>
                </c:pt>
                <c:pt idx="131">
                  <c:v>410.65</c:v>
                </c:pt>
                <c:pt idx="132">
                  <c:v>409.3</c:v>
                </c:pt>
                <c:pt idx="133">
                  <c:v>411.55</c:v>
                </c:pt>
                <c:pt idx="134">
                  <c:v>409.3</c:v>
                </c:pt>
                <c:pt idx="135">
                  <c:v>413.1</c:v>
                </c:pt>
                <c:pt idx="136">
                  <c:v>412.65</c:v>
                </c:pt>
                <c:pt idx="137">
                  <c:v>412.65</c:v>
                </c:pt>
                <c:pt idx="138">
                  <c:v>413.75</c:v>
                </c:pt>
                <c:pt idx="139">
                  <c:v>415.05</c:v>
                </c:pt>
                <c:pt idx="140">
                  <c:v>413.05</c:v>
                </c:pt>
                <c:pt idx="141">
                  <c:v>410.05</c:v>
                </c:pt>
                <c:pt idx="142">
                  <c:v>407.55</c:v>
                </c:pt>
                <c:pt idx="143">
                  <c:v>407.35</c:v>
                </c:pt>
                <c:pt idx="144">
                  <c:v>415.9</c:v>
                </c:pt>
                <c:pt idx="145">
                  <c:v>411.75</c:v>
                </c:pt>
                <c:pt idx="146">
                  <c:v>406.75</c:v>
                </c:pt>
                <c:pt idx="147">
                  <c:v>405.85</c:v>
                </c:pt>
                <c:pt idx="148">
                  <c:v>409.75</c:v>
                </c:pt>
                <c:pt idx="149">
                  <c:v>400.9</c:v>
                </c:pt>
                <c:pt idx="150">
                  <c:v>403.35</c:v>
                </c:pt>
                <c:pt idx="151">
                  <c:v>399.35</c:v>
                </c:pt>
                <c:pt idx="152">
                  <c:v>398.3</c:v>
                </c:pt>
                <c:pt idx="153">
                  <c:v>405.55</c:v>
                </c:pt>
                <c:pt idx="154">
                  <c:v>406.05</c:v>
                </c:pt>
                <c:pt idx="155">
                  <c:v>409.1</c:v>
                </c:pt>
                <c:pt idx="156">
                  <c:v>406.3</c:v>
                </c:pt>
                <c:pt idx="157">
                  <c:v>411.45</c:v>
                </c:pt>
                <c:pt idx="158">
                  <c:v>414.1</c:v>
                </c:pt>
                <c:pt idx="159">
                  <c:v>416.35</c:v>
                </c:pt>
                <c:pt idx="160">
                  <c:v>416.85</c:v>
                </c:pt>
                <c:pt idx="161">
                  <c:v>414.5</c:v>
                </c:pt>
                <c:pt idx="162">
                  <c:v>413.6</c:v>
                </c:pt>
                <c:pt idx="163">
                  <c:v>412</c:v>
                </c:pt>
                <c:pt idx="164">
                  <c:v>414.15</c:v>
                </c:pt>
                <c:pt idx="165">
                  <c:v>416.85</c:v>
                </c:pt>
                <c:pt idx="166">
                  <c:v>416.45</c:v>
                </c:pt>
                <c:pt idx="167">
                  <c:v>411.95</c:v>
                </c:pt>
                <c:pt idx="168">
                  <c:v>407.6</c:v>
                </c:pt>
                <c:pt idx="169">
                  <c:v>408.45</c:v>
                </c:pt>
                <c:pt idx="170">
                  <c:v>409.9</c:v>
                </c:pt>
                <c:pt idx="171">
                  <c:v>409.4</c:v>
                </c:pt>
                <c:pt idx="172">
                  <c:v>409.95</c:v>
                </c:pt>
                <c:pt idx="173">
                  <c:v>414.95</c:v>
                </c:pt>
                <c:pt idx="174">
                  <c:v>416</c:v>
                </c:pt>
                <c:pt idx="175">
                  <c:v>420.1</c:v>
                </c:pt>
                <c:pt idx="176">
                  <c:v>422.75</c:v>
                </c:pt>
                <c:pt idx="177">
                  <c:v>423.95</c:v>
                </c:pt>
                <c:pt idx="178">
                  <c:v>424.6</c:v>
                </c:pt>
                <c:pt idx="179">
                  <c:v>422.1</c:v>
                </c:pt>
                <c:pt idx="180">
                  <c:v>419.4</c:v>
                </c:pt>
                <c:pt idx="181">
                  <c:v>416.8</c:v>
                </c:pt>
                <c:pt idx="182">
                  <c:v>416.85</c:v>
                </c:pt>
                <c:pt idx="183">
                  <c:v>419.45</c:v>
                </c:pt>
                <c:pt idx="184">
                  <c:v>417.2</c:v>
                </c:pt>
                <c:pt idx="185">
                  <c:v>416.15</c:v>
                </c:pt>
                <c:pt idx="186">
                  <c:v>412.55</c:v>
                </c:pt>
                <c:pt idx="187">
                  <c:v>413.35</c:v>
                </c:pt>
                <c:pt idx="188">
                  <c:v>412.95</c:v>
                </c:pt>
                <c:pt idx="189">
                  <c:v>415.1</c:v>
                </c:pt>
                <c:pt idx="190">
                  <c:v>416.45</c:v>
                </c:pt>
                <c:pt idx="191">
                  <c:v>418.65</c:v>
                </c:pt>
                <c:pt idx="192">
                  <c:v>420.3</c:v>
                </c:pt>
                <c:pt idx="193">
                  <c:v>416.35</c:v>
                </c:pt>
                <c:pt idx="194">
                  <c:v>414.35</c:v>
                </c:pt>
                <c:pt idx="195">
                  <c:v>413.9</c:v>
                </c:pt>
                <c:pt idx="196">
                  <c:v>418.55</c:v>
                </c:pt>
                <c:pt idx="197">
                  <c:v>416</c:v>
                </c:pt>
                <c:pt idx="198">
                  <c:v>415.9</c:v>
                </c:pt>
                <c:pt idx="199">
                  <c:v>417.4</c:v>
                </c:pt>
                <c:pt idx="200">
                  <c:v>418.2</c:v>
                </c:pt>
                <c:pt idx="201">
                  <c:v>413.9</c:v>
                </c:pt>
                <c:pt idx="202">
                  <c:v>421</c:v>
                </c:pt>
                <c:pt idx="203">
                  <c:v>426.15</c:v>
                </c:pt>
                <c:pt idx="204">
                  <c:v>427</c:v>
                </c:pt>
                <c:pt idx="205">
                  <c:v>423.05</c:v>
                </c:pt>
                <c:pt idx="206">
                  <c:v>421.05</c:v>
                </c:pt>
                <c:pt idx="207">
                  <c:v>419.1</c:v>
                </c:pt>
                <c:pt idx="208">
                  <c:v>417</c:v>
                </c:pt>
                <c:pt idx="209">
                  <c:v>416.95</c:v>
                </c:pt>
                <c:pt idx="210">
                  <c:v>419.3</c:v>
                </c:pt>
                <c:pt idx="211">
                  <c:v>418.05</c:v>
                </c:pt>
                <c:pt idx="212">
                  <c:v>418.75</c:v>
                </c:pt>
                <c:pt idx="213">
                  <c:v>420.2</c:v>
                </c:pt>
                <c:pt idx="214">
                  <c:v>433.9</c:v>
                </c:pt>
                <c:pt idx="215">
                  <c:v>442.9</c:v>
                </c:pt>
                <c:pt idx="216">
                  <c:v>436.3</c:v>
                </c:pt>
                <c:pt idx="217">
                  <c:v>426.1</c:v>
                </c:pt>
                <c:pt idx="218">
                  <c:v>433</c:v>
                </c:pt>
                <c:pt idx="219">
                  <c:v>434.9</c:v>
                </c:pt>
                <c:pt idx="220">
                  <c:v>435.35</c:v>
                </c:pt>
                <c:pt idx="221">
                  <c:v>435.7</c:v>
                </c:pt>
                <c:pt idx="222">
                  <c:v>432.65</c:v>
                </c:pt>
                <c:pt idx="223">
                  <c:v>429.1</c:v>
                </c:pt>
                <c:pt idx="224">
                  <c:v>427.9</c:v>
                </c:pt>
                <c:pt idx="225">
                  <c:v>435.5</c:v>
                </c:pt>
                <c:pt idx="226">
                  <c:v>423.55</c:v>
                </c:pt>
                <c:pt idx="227">
                  <c:v>430.6</c:v>
                </c:pt>
                <c:pt idx="228">
                  <c:v>431.15</c:v>
                </c:pt>
                <c:pt idx="229">
                  <c:v>435.55</c:v>
                </c:pt>
                <c:pt idx="230">
                  <c:v>436.95</c:v>
                </c:pt>
                <c:pt idx="231">
                  <c:v>430.25</c:v>
                </c:pt>
                <c:pt idx="232">
                  <c:v>425.8</c:v>
                </c:pt>
                <c:pt idx="233">
                  <c:v>426</c:v>
                </c:pt>
                <c:pt idx="234">
                  <c:v>428.8</c:v>
                </c:pt>
                <c:pt idx="235">
                  <c:v>427.8</c:v>
                </c:pt>
                <c:pt idx="236">
                  <c:v>430.05</c:v>
                </c:pt>
                <c:pt idx="237">
                  <c:v>430.85</c:v>
                </c:pt>
                <c:pt idx="238">
                  <c:v>433.6</c:v>
                </c:pt>
                <c:pt idx="239">
                  <c:v>422.85</c:v>
                </c:pt>
                <c:pt idx="240">
                  <c:v>427.25</c:v>
                </c:pt>
                <c:pt idx="241">
                  <c:v>424.45</c:v>
                </c:pt>
                <c:pt idx="242">
                  <c:v>420.4</c:v>
                </c:pt>
                <c:pt idx="243">
                  <c:v>421.55</c:v>
                </c:pt>
                <c:pt idx="244">
                  <c:v>416.3</c:v>
                </c:pt>
                <c:pt idx="245">
                  <c:v>412.55</c:v>
                </c:pt>
                <c:pt idx="246">
                  <c:v>406.05</c:v>
                </c:pt>
                <c:pt idx="247">
                  <c:v>409.7</c:v>
                </c:pt>
                <c:pt idx="248">
                  <c:v>409.4</c:v>
                </c:pt>
                <c:pt idx="249">
                  <c:v>409.05</c:v>
                </c:pt>
                <c:pt idx="250">
                  <c:v>406.65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B-4C08-A325-92184BCCB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615551"/>
        <c:axId val="1118616031"/>
      </c:lineChart>
      <c:dateAx>
        <c:axId val="1118615551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16031"/>
        <c:crosses val="autoZero"/>
        <c:auto val="1"/>
        <c:lblOffset val="100"/>
        <c:baseTimeUnit val="days"/>
      </c:dateAx>
      <c:valAx>
        <c:axId val="1118616031"/>
        <c:scaling>
          <c:orientation val="minMax"/>
          <c:max val="500"/>
          <c:min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15551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85173210964523"/>
          <c:y val="0.12910798122065728"/>
          <c:w val="0.79521692652656828"/>
          <c:h val="0.47886214927359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'Input Sheet'!$D$2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tint val="55000"/>
              </a:schemeClr>
            </a:solidFill>
            <a:ln w="9525" cap="flat" cmpd="sng" algn="ctr">
              <a:solidFill>
                <a:srgbClr val="002060"/>
              </a:solidFill>
              <a:round/>
            </a:ln>
            <a:effectLst/>
          </c:spPr>
          <c:invertIfNegative val="0"/>
          <c:cat>
            <c:numRef>
              <c:f>'Input Sheet'!$B$3:$B$253</c:f>
              <c:numCache>
                <c:formatCode>d\-mmm\-yy</c:formatCode>
                <c:ptCount val="251"/>
                <c:pt idx="0">
                  <c:v>46113</c:v>
                </c:pt>
                <c:pt idx="1">
                  <c:v>46111</c:v>
                </c:pt>
                <c:pt idx="2">
                  <c:v>46108</c:v>
                </c:pt>
                <c:pt idx="3">
                  <c:v>46106</c:v>
                </c:pt>
                <c:pt idx="4">
                  <c:v>46105</c:v>
                </c:pt>
                <c:pt idx="5">
                  <c:v>46104</c:v>
                </c:pt>
                <c:pt idx="6">
                  <c:v>46101</c:v>
                </c:pt>
                <c:pt idx="7">
                  <c:v>46100</c:v>
                </c:pt>
                <c:pt idx="8">
                  <c:v>46099</c:v>
                </c:pt>
                <c:pt idx="9">
                  <c:v>46098</c:v>
                </c:pt>
                <c:pt idx="10">
                  <c:v>46097</c:v>
                </c:pt>
                <c:pt idx="11">
                  <c:v>46094</c:v>
                </c:pt>
                <c:pt idx="12">
                  <c:v>46093</c:v>
                </c:pt>
                <c:pt idx="13">
                  <c:v>46092</c:v>
                </c:pt>
                <c:pt idx="14">
                  <c:v>46091</c:v>
                </c:pt>
                <c:pt idx="15">
                  <c:v>46090</c:v>
                </c:pt>
                <c:pt idx="16">
                  <c:v>46087</c:v>
                </c:pt>
                <c:pt idx="17">
                  <c:v>46086</c:v>
                </c:pt>
                <c:pt idx="18">
                  <c:v>46085</c:v>
                </c:pt>
                <c:pt idx="19">
                  <c:v>46083</c:v>
                </c:pt>
                <c:pt idx="20">
                  <c:v>46080</c:v>
                </c:pt>
                <c:pt idx="21">
                  <c:v>46079</c:v>
                </c:pt>
                <c:pt idx="22">
                  <c:v>46078</c:v>
                </c:pt>
                <c:pt idx="23">
                  <c:v>46077</c:v>
                </c:pt>
                <c:pt idx="24">
                  <c:v>46076</c:v>
                </c:pt>
                <c:pt idx="25">
                  <c:v>46073</c:v>
                </c:pt>
                <c:pt idx="26">
                  <c:v>46072</c:v>
                </c:pt>
                <c:pt idx="27">
                  <c:v>46071</c:v>
                </c:pt>
                <c:pt idx="28">
                  <c:v>46070</c:v>
                </c:pt>
                <c:pt idx="29">
                  <c:v>46069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46054</c:v>
                </c:pt>
                <c:pt idx="41">
                  <c:v>46052</c:v>
                </c:pt>
                <c:pt idx="42">
                  <c:v>46051</c:v>
                </c:pt>
                <c:pt idx="43">
                  <c:v>46050</c:v>
                </c:pt>
                <c:pt idx="44">
                  <c:v>46049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46036</c:v>
                </c:pt>
                <c:pt idx="52">
                  <c:v>46035</c:v>
                </c:pt>
                <c:pt idx="53">
                  <c:v>46034</c:v>
                </c:pt>
                <c:pt idx="54">
                  <c:v>46031</c:v>
                </c:pt>
                <c:pt idx="55">
                  <c:v>46030</c:v>
                </c:pt>
                <c:pt idx="56">
                  <c:v>46029</c:v>
                </c:pt>
                <c:pt idx="57">
                  <c:v>46028</c:v>
                </c:pt>
                <c:pt idx="58">
                  <c:v>46027</c:v>
                </c:pt>
                <c:pt idx="59">
                  <c:v>46024</c:v>
                </c:pt>
                <c:pt idx="60">
                  <c:v>46023</c:v>
                </c:pt>
                <c:pt idx="61">
                  <c:v>46022</c:v>
                </c:pt>
                <c:pt idx="62">
                  <c:v>46021</c:v>
                </c:pt>
                <c:pt idx="63">
                  <c:v>46020</c:v>
                </c:pt>
                <c:pt idx="64">
                  <c:v>46017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45979</c:v>
                </c:pt>
                <c:pt idx="93">
                  <c:v>45978</c:v>
                </c:pt>
                <c:pt idx="94">
                  <c:v>45975</c:v>
                </c:pt>
                <c:pt idx="95">
                  <c:v>45974</c:v>
                </c:pt>
                <c:pt idx="96">
                  <c:v>45973</c:v>
                </c:pt>
                <c:pt idx="97">
                  <c:v>45972</c:v>
                </c:pt>
                <c:pt idx="98">
                  <c:v>45971</c:v>
                </c:pt>
                <c:pt idx="99">
                  <c:v>45968</c:v>
                </c:pt>
                <c:pt idx="100">
                  <c:v>45967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45951</c:v>
                </c:pt>
                <c:pt idx="111">
                  <c:v>45950</c:v>
                </c:pt>
                <c:pt idx="112">
                  <c:v>45947</c:v>
                </c:pt>
                <c:pt idx="113">
                  <c:v>45946</c:v>
                </c:pt>
                <c:pt idx="114">
                  <c:v>45945</c:v>
                </c:pt>
                <c:pt idx="115">
                  <c:v>45944</c:v>
                </c:pt>
                <c:pt idx="116">
                  <c:v>45943</c:v>
                </c:pt>
                <c:pt idx="117">
                  <c:v>45940</c:v>
                </c:pt>
                <c:pt idx="118">
                  <c:v>45939</c:v>
                </c:pt>
                <c:pt idx="119">
                  <c:v>45938</c:v>
                </c:pt>
                <c:pt idx="120">
                  <c:v>45937</c:v>
                </c:pt>
                <c:pt idx="121">
                  <c:v>45936</c:v>
                </c:pt>
                <c:pt idx="122">
                  <c:v>45933</c:v>
                </c:pt>
                <c:pt idx="123">
                  <c:v>45931</c:v>
                </c:pt>
                <c:pt idx="124">
                  <c:v>45930</c:v>
                </c:pt>
                <c:pt idx="125">
                  <c:v>45929</c:v>
                </c:pt>
                <c:pt idx="126">
                  <c:v>45926</c:v>
                </c:pt>
                <c:pt idx="127">
                  <c:v>45925</c:v>
                </c:pt>
                <c:pt idx="128">
                  <c:v>45924</c:v>
                </c:pt>
                <c:pt idx="129">
                  <c:v>45923</c:v>
                </c:pt>
                <c:pt idx="130">
                  <c:v>45922</c:v>
                </c:pt>
                <c:pt idx="131">
                  <c:v>45919</c:v>
                </c:pt>
                <c:pt idx="132">
                  <c:v>45918</c:v>
                </c:pt>
                <c:pt idx="133">
                  <c:v>45918</c:v>
                </c:pt>
                <c:pt idx="134">
                  <c:v>45917</c:v>
                </c:pt>
                <c:pt idx="135">
                  <c:v>45916</c:v>
                </c:pt>
                <c:pt idx="136">
                  <c:v>45916</c:v>
                </c:pt>
                <c:pt idx="137">
                  <c:v>45915</c:v>
                </c:pt>
                <c:pt idx="138">
                  <c:v>45912</c:v>
                </c:pt>
                <c:pt idx="139">
                  <c:v>45911</c:v>
                </c:pt>
                <c:pt idx="140">
                  <c:v>45910</c:v>
                </c:pt>
                <c:pt idx="141">
                  <c:v>45909</c:v>
                </c:pt>
                <c:pt idx="142">
                  <c:v>45908</c:v>
                </c:pt>
                <c:pt idx="143">
                  <c:v>45905</c:v>
                </c:pt>
                <c:pt idx="144">
                  <c:v>45904</c:v>
                </c:pt>
                <c:pt idx="145">
                  <c:v>45903</c:v>
                </c:pt>
                <c:pt idx="146">
                  <c:v>45902</c:v>
                </c:pt>
                <c:pt idx="147">
                  <c:v>45901</c:v>
                </c:pt>
                <c:pt idx="148">
                  <c:v>45898</c:v>
                </c:pt>
                <c:pt idx="149">
                  <c:v>45897</c:v>
                </c:pt>
                <c:pt idx="150">
                  <c:v>45895</c:v>
                </c:pt>
                <c:pt idx="151">
                  <c:v>45894</c:v>
                </c:pt>
                <c:pt idx="152">
                  <c:v>45891</c:v>
                </c:pt>
                <c:pt idx="153">
                  <c:v>45890</c:v>
                </c:pt>
                <c:pt idx="154">
                  <c:v>45889</c:v>
                </c:pt>
                <c:pt idx="155">
                  <c:v>45888</c:v>
                </c:pt>
                <c:pt idx="156">
                  <c:v>45887</c:v>
                </c:pt>
                <c:pt idx="157">
                  <c:v>45883</c:v>
                </c:pt>
                <c:pt idx="158">
                  <c:v>45882</c:v>
                </c:pt>
                <c:pt idx="159">
                  <c:v>45881</c:v>
                </c:pt>
                <c:pt idx="160">
                  <c:v>45880</c:v>
                </c:pt>
                <c:pt idx="161">
                  <c:v>45877</c:v>
                </c:pt>
                <c:pt idx="162">
                  <c:v>45876</c:v>
                </c:pt>
                <c:pt idx="163">
                  <c:v>45875</c:v>
                </c:pt>
                <c:pt idx="164">
                  <c:v>45874</c:v>
                </c:pt>
                <c:pt idx="165">
                  <c:v>45873</c:v>
                </c:pt>
                <c:pt idx="166">
                  <c:v>45870</c:v>
                </c:pt>
                <c:pt idx="167">
                  <c:v>45869</c:v>
                </c:pt>
                <c:pt idx="168">
                  <c:v>45868</c:v>
                </c:pt>
                <c:pt idx="169">
                  <c:v>45867</c:v>
                </c:pt>
                <c:pt idx="170">
                  <c:v>45866</c:v>
                </c:pt>
                <c:pt idx="171">
                  <c:v>45863</c:v>
                </c:pt>
                <c:pt idx="172">
                  <c:v>45862</c:v>
                </c:pt>
                <c:pt idx="173">
                  <c:v>45861</c:v>
                </c:pt>
                <c:pt idx="174">
                  <c:v>45860</c:v>
                </c:pt>
                <c:pt idx="175">
                  <c:v>45859</c:v>
                </c:pt>
                <c:pt idx="176">
                  <c:v>45856</c:v>
                </c:pt>
                <c:pt idx="177">
                  <c:v>45855</c:v>
                </c:pt>
                <c:pt idx="178">
                  <c:v>45854</c:v>
                </c:pt>
                <c:pt idx="179">
                  <c:v>45853</c:v>
                </c:pt>
                <c:pt idx="180">
                  <c:v>45852</c:v>
                </c:pt>
                <c:pt idx="181">
                  <c:v>45849</c:v>
                </c:pt>
                <c:pt idx="182">
                  <c:v>45848</c:v>
                </c:pt>
                <c:pt idx="183">
                  <c:v>45847</c:v>
                </c:pt>
                <c:pt idx="184">
                  <c:v>45846</c:v>
                </c:pt>
                <c:pt idx="185">
                  <c:v>45845</c:v>
                </c:pt>
                <c:pt idx="186">
                  <c:v>45842</c:v>
                </c:pt>
                <c:pt idx="187">
                  <c:v>45841</c:v>
                </c:pt>
                <c:pt idx="188">
                  <c:v>45840</c:v>
                </c:pt>
                <c:pt idx="189">
                  <c:v>45839</c:v>
                </c:pt>
                <c:pt idx="190">
                  <c:v>45838</c:v>
                </c:pt>
                <c:pt idx="191">
                  <c:v>45835</c:v>
                </c:pt>
                <c:pt idx="192">
                  <c:v>45834</c:v>
                </c:pt>
                <c:pt idx="193">
                  <c:v>45833</c:v>
                </c:pt>
                <c:pt idx="194">
                  <c:v>45832</c:v>
                </c:pt>
                <c:pt idx="195">
                  <c:v>45831</c:v>
                </c:pt>
                <c:pt idx="196">
                  <c:v>45828</c:v>
                </c:pt>
                <c:pt idx="197">
                  <c:v>45827</c:v>
                </c:pt>
                <c:pt idx="198">
                  <c:v>45826</c:v>
                </c:pt>
                <c:pt idx="199">
                  <c:v>45825</c:v>
                </c:pt>
                <c:pt idx="200">
                  <c:v>45824</c:v>
                </c:pt>
                <c:pt idx="201">
                  <c:v>45821</c:v>
                </c:pt>
                <c:pt idx="202">
                  <c:v>45820</c:v>
                </c:pt>
                <c:pt idx="203">
                  <c:v>45819</c:v>
                </c:pt>
                <c:pt idx="204">
                  <c:v>45818</c:v>
                </c:pt>
                <c:pt idx="205">
                  <c:v>45817</c:v>
                </c:pt>
                <c:pt idx="206">
                  <c:v>45814</c:v>
                </c:pt>
                <c:pt idx="207">
                  <c:v>45813</c:v>
                </c:pt>
                <c:pt idx="208">
                  <c:v>45812</c:v>
                </c:pt>
                <c:pt idx="209">
                  <c:v>45811</c:v>
                </c:pt>
                <c:pt idx="210">
                  <c:v>45810</c:v>
                </c:pt>
                <c:pt idx="211">
                  <c:v>45807</c:v>
                </c:pt>
                <c:pt idx="212">
                  <c:v>45806</c:v>
                </c:pt>
                <c:pt idx="213">
                  <c:v>45805</c:v>
                </c:pt>
                <c:pt idx="214">
                  <c:v>45804</c:v>
                </c:pt>
                <c:pt idx="215">
                  <c:v>45803</c:v>
                </c:pt>
                <c:pt idx="216">
                  <c:v>45800</c:v>
                </c:pt>
                <c:pt idx="217">
                  <c:v>45799</c:v>
                </c:pt>
                <c:pt idx="218">
                  <c:v>45798</c:v>
                </c:pt>
                <c:pt idx="219">
                  <c:v>45797</c:v>
                </c:pt>
                <c:pt idx="220">
                  <c:v>45796</c:v>
                </c:pt>
                <c:pt idx="221">
                  <c:v>45793</c:v>
                </c:pt>
                <c:pt idx="222">
                  <c:v>45792</c:v>
                </c:pt>
                <c:pt idx="223">
                  <c:v>45791</c:v>
                </c:pt>
                <c:pt idx="224">
                  <c:v>45790</c:v>
                </c:pt>
                <c:pt idx="225">
                  <c:v>45789</c:v>
                </c:pt>
                <c:pt idx="226">
                  <c:v>45786</c:v>
                </c:pt>
                <c:pt idx="227">
                  <c:v>45785</c:v>
                </c:pt>
                <c:pt idx="228">
                  <c:v>45784</c:v>
                </c:pt>
                <c:pt idx="229">
                  <c:v>45783</c:v>
                </c:pt>
                <c:pt idx="230">
                  <c:v>45782</c:v>
                </c:pt>
                <c:pt idx="231">
                  <c:v>45779</c:v>
                </c:pt>
                <c:pt idx="232">
                  <c:v>45777</c:v>
                </c:pt>
                <c:pt idx="233">
                  <c:v>45776</c:v>
                </c:pt>
                <c:pt idx="234">
                  <c:v>45775</c:v>
                </c:pt>
                <c:pt idx="235">
                  <c:v>45772</c:v>
                </c:pt>
                <c:pt idx="236">
                  <c:v>45771</c:v>
                </c:pt>
                <c:pt idx="237">
                  <c:v>45770</c:v>
                </c:pt>
                <c:pt idx="238">
                  <c:v>45769</c:v>
                </c:pt>
                <c:pt idx="239">
                  <c:v>45768</c:v>
                </c:pt>
                <c:pt idx="240">
                  <c:v>45764</c:v>
                </c:pt>
                <c:pt idx="241">
                  <c:v>45763</c:v>
                </c:pt>
                <c:pt idx="242">
                  <c:v>45762</c:v>
                </c:pt>
                <c:pt idx="243">
                  <c:v>45758</c:v>
                </c:pt>
                <c:pt idx="244">
                  <c:v>45756</c:v>
                </c:pt>
                <c:pt idx="245">
                  <c:v>45755</c:v>
                </c:pt>
                <c:pt idx="246">
                  <c:v>45754</c:v>
                </c:pt>
                <c:pt idx="247">
                  <c:v>45751</c:v>
                </c:pt>
                <c:pt idx="248">
                  <c:v>45750</c:v>
                </c:pt>
                <c:pt idx="249">
                  <c:v>45749</c:v>
                </c:pt>
                <c:pt idx="250">
                  <c:v>45748</c:v>
                </c:pt>
              </c:numCache>
            </c:numRef>
          </c:cat>
          <c:val>
            <c:numRef>
              <c:f>'Input Sheet'!$D$3:$D$253</c:f>
              <c:numCache>
                <c:formatCode>General</c:formatCode>
                <c:ptCount val="251"/>
                <c:pt idx="0">
                  <c:v>18.604340000000001</c:v>
                </c:pt>
                <c:pt idx="1">
                  <c:v>24.586921</c:v>
                </c:pt>
                <c:pt idx="2">
                  <c:v>22.179022</c:v>
                </c:pt>
                <c:pt idx="3">
                  <c:v>26.184716000000002</c:v>
                </c:pt>
                <c:pt idx="4">
                  <c:v>33.335720999999999</c:v>
                </c:pt>
                <c:pt idx="5">
                  <c:v>31.788160000000001</c:v>
                </c:pt>
                <c:pt idx="6">
                  <c:v>58.679529000000002</c:v>
                </c:pt>
                <c:pt idx="7">
                  <c:v>17.851126000000001</c:v>
                </c:pt>
                <c:pt idx="8">
                  <c:v>16.702553999999999</c:v>
                </c:pt>
                <c:pt idx="9">
                  <c:v>25.649286</c:v>
                </c:pt>
                <c:pt idx="10">
                  <c:v>37.472203999999998</c:v>
                </c:pt>
                <c:pt idx="11">
                  <c:v>25.659996</c:v>
                </c:pt>
                <c:pt idx="12">
                  <c:v>23.319679000000001</c:v>
                </c:pt>
                <c:pt idx="13">
                  <c:v>14.842485</c:v>
                </c:pt>
                <c:pt idx="14">
                  <c:v>18.35295</c:v>
                </c:pt>
                <c:pt idx="15">
                  <c:v>14.084930999999999</c:v>
                </c:pt>
                <c:pt idx="16">
                  <c:v>21.288269</c:v>
                </c:pt>
                <c:pt idx="17">
                  <c:v>19.938009000000001</c:v>
                </c:pt>
                <c:pt idx="18">
                  <c:v>24.165489000000001</c:v>
                </c:pt>
                <c:pt idx="19">
                  <c:v>22.194310999999999</c:v>
                </c:pt>
                <c:pt idx="20">
                  <c:v>13.892595</c:v>
                </c:pt>
                <c:pt idx="21">
                  <c:v>11.270118999999999</c:v>
                </c:pt>
                <c:pt idx="22">
                  <c:v>13.492101</c:v>
                </c:pt>
                <c:pt idx="23">
                  <c:v>13.135859</c:v>
                </c:pt>
                <c:pt idx="24">
                  <c:v>13.486091999999999</c:v>
                </c:pt>
                <c:pt idx="25">
                  <c:v>11.282026999999999</c:v>
                </c:pt>
                <c:pt idx="26">
                  <c:v>19.911746999999998</c:v>
                </c:pt>
                <c:pt idx="27">
                  <c:v>35.473202999999998</c:v>
                </c:pt>
                <c:pt idx="28">
                  <c:v>39.360672000000001</c:v>
                </c:pt>
                <c:pt idx="29">
                  <c:v>11.693763000000001</c:v>
                </c:pt>
                <c:pt idx="30">
                  <c:v>8.7306179999999998</c:v>
                </c:pt>
                <c:pt idx="31">
                  <c:v>13.294561</c:v>
                </c:pt>
                <c:pt idx="32">
                  <c:v>24.843366</c:v>
                </c:pt>
                <c:pt idx="33">
                  <c:v>11.489089999999999</c:v>
                </c:pt>
                <c:pt idx="34">
                  <c:v>20.059197999999999</c:v>
                </c:pt>
                <c:pt idx="35">
                  <c:v>68.057744999999997</c:v>
                </c:pt>
                <c:pt idx="36">
                  <c:v>15.816704</c:v>
                </c:pt>
                <c:pt idx="37">
                  <c:v>11.196759</c:v>
                </c:pt>
                <c:pt idx="38">
                  <c:v>33.168353000000003</c:v>
                </c:pt>
                <c:pt idx="39">
                  <c:v>35.227572000000002</c:v>
                </c:pt>
                <c:pt idx="40">
                  <c:v>33.278995000000002</c:v>
                </c:pt>
                <c:pt idx="41">
                  <c:v>41.975824000000003</c:v>
                </c:pt>
                <c:pt idx="42">
                  <c:v>17.71942</c:v>
                </c:pt>
                <c:pt idx="43">
                  <c:v>28.400238000000002</c:v>
                </c:pt>
                <c:pt idx="44">
                  <c:v>47.847783999999997</c:v>
                </c:pt>
                <c:pt idx="45">
                  <c:v>11.950089</c:v>
                </c:pt>
                <c:pt idx="46">
                  <c:v>18.622852000000002</c:v>
                </c:pt>
                <c:pt idx="47">
                  <c:v>14.177965</c:v>
                </c:pt>
                <c:pt idx="48">
                  <c:v>18.771011000000001</c:v>
                </c:pt>
                <c:pt idx="49">
                  <c:v>15.507440000000001</c:v>
                </c:pt>
                <c:pt idx="50">
                  <c:v>30.526897999999999</c:v>
                </c:pt>
                <c:pt idx="51">
                  <c:v>14.913422000000001</c:v>
                </c:pt>
                <c:pt idx="52">
                  <c:v>24.922339000000001</c:v>
                </c:pt>
                <c:pt idx="53">
                  <c:v>16.156143</c:v>
                </c:pt>
                <c:pt idx="54">
                  <c:v>35.193201000000002</c:v>
                </c:pt>
                <c:pt idx="55">
                  <c:v>36.706319000000001</c:v>
                </c:pt>
                <c:pt idx="56">
                  <c:v>29.440733999999999</c:v>
                </c:pt>
                <c:pt idx="57">
                  <c:v>72.582738000000006</c:v>
                </c:pt>
                <c:pt idx="58">
                  <c:v>48.358123999999997</c:v>
                </c:pt>
                <c:pt idx="59">
                  <c:v>118.790358</c:v>
                </c:pt>
                <c:pt idx="60">
                  <c:v>282.62671</c:v>
                </c:pt>
                <c:pt idx="61">
                  <c:v>9.9451090000000004</c:v>
                </c:pt>
                <c:pt idx="62">
                  <c:v>12.340527</c:v>
                </c:pt>
                <c:pt idx="63">
                  <c:v>6.64771</c:v>
                </c:pt>
                <c:pt idx="64">
                  <c:v>3.1524529999999999</c:v>
                </c:pt>
                <c:pt idx="65">
                  <c:v>5.7774299999999998</c:v>
                </c:pt>
                <c:pt idx="66">
                  <c:v>10.081996999999999</c:v>
                </c:pt>
                <c:pt idx="67">
                  <c:v>6.8478709999999996</c:v>
                </c:pt>
                <c:pt idx="68">
                  <c:v>10.654835</c:v>
                </c:pt>
                <c:pt idx="69">
                  <c:v>7.2276680000000004</c:v>
                </c:pt>
                <c:pt idx="70">
                  <c:v>8.0874900000000007</c:v>
                </c:pt>
                <c:pt idx="71">
                  <c:v>12.347384</c:v>
                </c:pt>
                <c:pt idx="72">
                  <c:v>7.756564</c:v>
                </c:pt>
                <c:pt idx="73">
                  <c:v>12.407515999999999</c:v>
                </c:pt>
                <c:pt idx="74">
                  <c:v>6.9801469999999997</c:v>
                </c:pt>
                <c:pt idx="75">
                  <c:v>6.9691460000000003</c:v>
                </c:pt>
                <c:pt idx="76">
                  <c:v>9.426717</c:v>
                </c:pt>
                <c:pt idx="77">
                  <c:v>6.0568660000000003</c:v>
                </c:pt>
                <c:pt idx="78">
                  <c:v>4.4197470000000001</c:v>
                </c:pt>
                <c:pt idx="79">
                  <c:v>8.0579889999999992</c:v>
                </c:pt>
                <c:pt idx="80">
                  <c:v>10.772192</c:v>
                </c:pt>
                <c:pt idx="81">
                  <c:v>8.0938079999999992</c:v>
                </c:pt>
                <c:pt idx="82">
                  <c:v>13.442658</c:v>
                </c:pt>
                <c:pt idx="83">
                  <c:v>6.8834999999999997</c:v>
                </c:pt>
                <c:pt idx="84">
                  <c:v>8.6795290000000005</c:v>
                </c:pt>
                <c:pt idx="85">
                  <c:v>11.443953</c:v>
                </c:pt>
                <c:pt idx="86">
                  <c:v>8.1997850000000003</c:v>
                </c:pt>
                <c:pt idx="87">
                  <c:v>11.037490999999999</c:v>
                </c:pt>
                <c:pt idx="88">
                  <c:v>5.8081310000000004</c:v>
                </c:pt>
                <c:pt idx="89">
                  <c:v>6.6934100000000001</c:v>
                </c:pt>
                <c:pt idx="90">
                  <c:v>7.8824500000000004</c:v>
                </c:pt>
                <c:pt idx="91">
                  <c:v>7.6616809999999997</c:v>
                </c:pt>
                <c:pt idx="92">
                  <c:v>47.551346000000002</c:v>
                </c:pt>
                <c:pt idx="93">
                  <c:v>7.8553990000000002</c:v>
                </c:pt>
                <c:pt idx="94">
                  <c:v>64.020257999999998</c:v>
                </c:pt>
                <c:pt idx="95">
                  <c:v>6.6171850000000001</c:v>
                </c:pt>
                <c:pt idx="96">
                  <c:v>7.9872360000000002</c:v>
                </c:pt>
                <c:pt idx="97">
                  <c:v>12.005318000000001</c:v>
                </c:pt>
                <c:pt idx="98">
                  <c:v>6.6500029999999999</c:v>
                </c:pt>
                <c:pt idx="99">
                  <c:v>8.4116110000000006</c:v>
                </c:pt>
                <c:pt idx="100">
                  <c:v>10.095563</c:v>
                </c:pt>
                <c:pt idx="101">
                  <c:v>10.085404</c:v>
                </c:pt>
                <c:pt idx="102">
                  <c:v>7.63544</c:v>
                </c:pt>
                <c:pt idx="103">
                  <c:v>18.599864</c:v>
                </c:pt>
                <c:pt idx="104">
                  <c:v>12.938674000000001</c:v>
                </c:pt>
                <c:pt idx="105">
                  <c:v>11.470661</c:v>
                </c:pt>
                <c:pt idx="106">
                  <c:v>17.163146999999999</c:v>
                </c:pt>
                <c:pt idx="107">
                  <c:v>11.603679</c:v>
                </c:pt>
                <c:pt idx="108">
                  <c:v>14.935677999999999</c:v>
                </c:pt>
                <c:pt idx="109">
                  <c:v>24.305990000000001</c:v>
                </c:pt>
                <c:pt idx="110">
                  <c:v>1.1421300000000001</c:v>
                </c:pt>
                <c:pt idx="111">
                  <c:v>13.083621000000001</c:v>
                </c:pt>
                <c:pt idx="112">
                  <c:v>21.071344</c:v>
                </c:pt>
                <c:pt idx="113">
                  <c:v>22.962049</c:v>
                </c:pt>
                <c:pt idx="114">
                  <c:v>16.043866999999999</c:v>
                </c:pt>
                <c:pt idx="115">
                  <c:v>10.291102</c:v>
                </c:pt>
                <c:pt idx="116">
                  <c:v>9.5085940000000004</c:v>
                </c:pt>
                <c:pt idx="117">
                  <c:v>15.085737999999999</c:v>
                </c:pt>
                <c:pt idx="118">
                  <c:v>15.656267</c:v>
                </c:pt>
                <c:pt idx="119">
                  <c:v>8.4024629999999991</c:v>
                </c:pt>
                <c:pt idx="120">
                  <c:v>12.298968</c:v>
                </c:pt>
                <c:pt idx="121">
                  <c:v>13.989077</c:v>
                </c:pt>
                <c:pt idx="122">
                  <c:v>16.987141000000001</c:v>
                </c:pt>
                <c:pt idx="123">
                  <c:v>17.643039000000002</c:v>
                </c:pt>
                <c:pt idx="124">
                  <c:v>9.4654900000000008</c:v>
                </c:pt>
                <c:pt idx="125">
                  <c:v>19.717659999999999</c:v>
                </c:pt>
                <c:pt idx="126">
                  <c:v>14.414044000000001</c:v>
                </c:pt>
                <c:pt idx="127">
                  <c:v>22.006367999999998</c:v>
                </c:pt>
                <c:pt idx="128">
                  <c:v>12.380865</c:v>
                </c:pt>
                <c:pt idx="129">
                  <c:v>14.936356999999999</c:v>
                </c:pt>
                <c:pt idx="130">
                  <c:v>8.9307789999999994</c:v>
                </c:pt>
                <c:pt idx="131">
                  <c:v>19.505320999999999</c:v>
                </c:pt>
                <c:pt idx="132">
                  <c:v>0.64511099999999999</c:v>
                </c:pt>
                <c:pt idx="133">
                  <c:v>15.647807999999999</c:v>
                </c:pt>
                <c:pt idx="134">
                  <c:v>14.113882</c:v>
                </c:pt>
                <c:pt idx="135">
                  <c:v>8.2390869999999996</c:v>
                </c:pt>
                <c:pt idx="136">
                  <c:v>0.59093300000000004</c:v>
                </c:pt>
                <c:pt idx="137">
                  <c:v>5.7073309999999999</c:v>
                </c:pt>
                <c:pt idx="138">
                  <c:v>7.8033789999999996</c:v>
                </c:pt>
                <c:pt idx="139">
                  <c:v>8.2744060000000008</c:v>
                </c:pt>
                <c:pt idx="140">
                  <c:v>9.2523970000000002</c:v>
                </c:pt>
                <c:pt idx="141">
                  <c:v>8.8258960000000002</c:v>
                </c:pt>
                <c:pt idx="142">
                  <c:v>7.419022</c:v>
                </c:pt>
                <c:pt idx="143">
                  <c:v>16.000675000000001</c:v>
                </c:pt>
                <c:pt idx="144">
                  <c:v>27.274122999999999</c:v>
                </c:pt>
                <c:pt idx="145">
                  <c:v>12.936588</c:v>
                </c:pt>
                <c:pt idx="146">
                  <c:v>19.808254999999999</c:v>
                </c:pt>
                <c:pt idx="147">
                  <c:v>12.268090000000001</c:v>
                </c:pt>
                <c:pt idx="148">
                  <c:v>25.255050000000001</c:v>
                </c:pt>
                <c:pt idx="149">
                  <c:v>12.471719</c:v>
                </c:pt>
                <c:pt idx="150">
                  <c:v>13.715752</c:v>
                </c:pt>
                <c:pt idx="151">
                  <c:v>10.440286</c:v>
                </c:pt>
                <c:pt idx="152">
                  <c:v>13.087624</c:v>
                </c:pt>
                <c:pt idx="153">
                  <c:v>15.028966</c:v>
                </c:pt>
                <c:pt idx="154">
                  <c:v>18.188129</c:v>
                </c:pt>
                <c:pt idx="155">
                  <c:v>16.681331</c:v>
                </c:pt>
                <c:pt idx="156">
                  <c:v>30.950814000000001</c:v>
                </c:pt>
                <c:pt idx="157">
                  <c:v>9.5803609999999999</c:v>
                </c:pt>
                <c:pt idx="158">
                  <c:v>10.87491</c:v>
                </c:pt>
                <c:pt idx="159">
                  <c:v>13.635738</c:v>
                </c:pt>
                <c:pt idx="160">
                  <c:v>8.5142720000000001</c:v>
                </c:pt>
                <c:pt idx="161">
                  <c:v>9.8143609999999999</c:v>
                </c:pt>
                <c:pt idx="162">
                  <c:v>11.514878</c:v>
                </c:pt>
                <c:pt idx="163">
                  <c:v>9.0805430000000005</c:v>
                </c:pt>
                <c:pt idx="164">
                  <c:v>8.4951039999999995</c:v>
                </c:pt>
                <c:pt idx="165">
                  <c:v>18.352457999999999</c:v>
                </c:pt>
                <c:pt idx="166">
                  <c:v>14.324064999999999</c:v>
                </c:pt>
                <c:pt idx="167">
                  <c:v>19.364173999999998</c:v>
                </c:pt>
                <c:pt idx="168">
                  <c:v>10.915863</c:v>
                </c:pt>
                <c:pt idx="169">
                  <c:v>6.8117720000000004</c:v>
                </c:pt>
                <c:pt idx="170">
                  <c:v>8.1233369999999994</c:v>
                </c:pt>
                <c:pt idx="171">
                  <c:v>5.8240889999999998</c:v>
                </c:pt>
                <c:pt idx="172">
                  <c:v>9.0051570000000005</c:v>
                </c:pt>
                <c:pt idx="173">
                  <c:v>12.196187</c:v>
                </c:pt>
                <c:pt idx="174">
                  <c:v>9.8695070000000005</c:v>
                </c:pt>
                <c:pt idx="175">
                  <c:v>4.822343</c:v>
                </c:pt>
                <c:pt idx="176">
                  <c:v>6.7302559999999998</c:v>
                </c:pt>
                <c:pt idx="177">
                  <c:v>7.2407950000000003</c:v>
                </c:pt>
                <c:pt idx="178">
                  <c:v>9.7807729999999999</c:v>
                </c:pt>
                <c:pt idx="179">
                  <c:v>8.5327549999999999</c:v>
                </c:pt>
                <c:pt idx="180">
                  <c:v>6.8969889999999996</c:v>
                </c:pt>
                <c:pt idx="181">
                  <c:v>8.5788440000000001</c:v>
                </c:pt>
                <c:pt idx="182">
                  <c:v>6.2203600000000003</c:v>
                </c:pt>
                <c:pt idx="183">
                  <c:v>9.9305330000000005</c:v>
                </c:pt>
                <c:pt idx="184">
                  <c:v>6.8071919999999997</c:v>
                </c:pt>
                <c:pt idx="185">
                  <c:v>6.845218</c:v>
                </c:pt>
                <c:pt idx="186">
                  <c:v>8.2567330000000005</c:v>
                </c:pt>
                <c:pt idx="187">
                  <c:v>14.185298</c:v>
                </c:pt>
                <c:pt idx="188">
                  <c:v>15.990899000000001</c:v>
                </c:pt>
                <c:pt idx="189">
                  <c:v>13.670465</c:v>
                </c:pt>
                <c:pt idx="190">
                  <c:v>12.317124</c:v>
                </c:pt>
                <c:pt idx="191">
                  <c:v>21.409935000000001</c:v>
                </c:pt>
                <c:pt idx="192">
                  <c:v>13.703918</c:v>
                </c:pt>
                <c:pt idx="193">
                  <c:v>9.9467180000000006</c:v>
                </c:pt>
                <c:pt idx="194">
                  <c:v>16.690068</c:v>
                </c:pt>
                <c:pt idx="195">
                  <c:v>14.83989</c:v>
                </c:pt>
                <c:pt idx="196">
                  <c:v>13.203184</c:v>
                </c:pt>
                <c:pt idx="197">
                  <c:v>12.601006</c:v>
                </c:pt>
                <c:pt idx="198">
                  <c:v>8.0362150000000003</c:v>
                </c:pt>
                <c:pt idx="199">
                  <c:v>9.0284060000000004</c:v>
                </c:pt>
                <c:pt idx="200">
                  <c:v>7.0066290000000002</c:v>
                </c:pt>
                <c:pt idx="201">
                  <c:v>17.873926000000001</c:v>
                </c:pt>
                <c:pt idx="202">
                  <c:v>18.508835000000001</c:v>
                </c:pt>
                <c:pt idx="203">
                  <c:v>20.789182</c:v>
                </c:pt>
                <c:pt idx="204">
                  <c:v>13.041074999999999</c:v>
                </c:pt>
                <c:pt idx="205">
                  <c:v>10.473122999999999</c:v>
                </c:pt>
                <c:pt idx="206">
                  <c:v>8.7749880000000005</c:v>
                </c:pt>
                <c:pt idx="207">
                  <c:v>13.212522999999999</c:v>
                </c:pt>
                <c:pt idx="208">
                  <c:v>12.598933000000001</c:v>
                </c:pt>
                <c:pt idx="209">
                  <c:v>13.216486</c:v>
                </c:pt>
                <c:pt idx="210">
                  <c:v>14.973380000000001</c:v>
                </c:pt>
                <c:pt idx="211">
                  <c:v>30.656238999999999</c:v>
                </c:pt>
                <c:pt idx="212">
                  <c:v>21.478546999999999</c:v>
                </c:pt>
                <c:pt idx="213">
                  <c:v>431.85162200000002</c:v>
                </c:pt>
                <c:pt idx="214">
                  <c:v>26.986021999999998</c:v>
                </c:pt>
                <c:pt idx="215">
                  <c:v>13.107661999999999</c:v>
                </c:pt>
                <c:pt idx="216">
                  <c:v>18.536884000000001</c:v>
                </c:pt>
                <c:pt idx="217">
                  <c:v>19.451749</c:v>
                </c:pt>
                <c:pt idx="218">
                  <c:v>5.7766719999999996</c:v>
                </c:pt>
                <c:pt idx="219">
                  <c:v>9.8684139999999996</c:v>
                </c:pt>
                <c:pt idx="220">
                  <c:v>7.5438539999999996</c:v>
                </c:pt>
                <c:pt idx="221">
                  <c:v>16.402035000000001</c:v>
                </c:pt>
                <c:pt idx="222">
                  <c:v>24.26351</c:v>
                </c:pt>
                <c:pt idx="223">
                  <c:v>9.5573090000000001</c:v>
                </c:pt>
                <c:pt idx="224">
                  <c:v>14.976369</c:v>
                </c:pt>
                <c:pt idx="225">
                  <c:v>8.0318909999999999</c:v>
                </c:pt>
                <c:pt idx="226">
                  <c:v>8.2265119999999996</c:v>
                </c:pt>
                <c:pt idx="227">
                  <c:v>19.93796</c:v>
                </c:pt>
                <c:pt idx="228">
                  <c:v>9.7103610000000007</c:v>
                </c:pt>
                <c:pt idx="229">
                  <c:v>15.026567999999999</c:v>
                </c:pt>
                <c:pt idx="230">
                  <c:v>11.525304999999999</c:v>
                </c:pt>
                <c:pt idx="231">
                  <c:v>12.769461</c:v>
                </c:pt>
                <c:pt idx="232">
                  <c:v>10.026546</c:v>
                </c:pt>
                <c:pt idx="233">
                  <c:v>11.18993</c:v>
                </c:pt>
                <c:pt idx="234">
                  <c:v>6.2870949999999999</c:v>
                </c:pt>
                <c:pt idx="235">
                  <c:v>22.944376999999999</c:v>
                </c:pt>
                <c:pt idx="236">
                  <c:v>26.064088999999999</c:v>
                </c:pt>
                <c:pt idx="237">
                  <c:v>19.566317000000002</c:v>
                </c:pt>
                <c:pt idx="238">
                  <c:v>32.031936000000002</c:v>
                </c:pt>
                <c:pt idx="239">
                  <c:v>27.388235999999999</c:v>
                </c:pt>
                <c:pt idx="240">
                  <c:v>22.410216999999999</c:v>
                </c:pt>
                <c:pt idx="241">
                  <c:v>13.034594</c:v>
                </c:pt>
                <c:pt idx="242">
                  <c:v>11.685879999999999</c:v>
                </c:pt>
                <c:pt idx="243">
                  <c:v>8.9393560000000001</c:v>
                </c:pt>
                <c:pt idx="244">
                  <c:v>21.785571999999998</c:v>
                </c:pt>
                <c:pt idx="245">
                  <c:v>18.600795999999999</c:v>
                </c:pt>
                <c:pt idx="246">
                  <c:v>26.762865999999999</c:v>
                </c:pt>
                <c:pt idx="247">
                  <c:v>18.627592</c:v>
                </c:pt>
                <c:pt idx="248">
                  <c:v>7.0595660000000002</c:v>
                </c:pt>
                <c:pt idx="249">
                  <c:v>8.0013229999999993</c:v>
                </c:pt>
                <c:pt idx="250">
                  <c:v>15.206239999999999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1-4BD0-B5D5-A2AD1AA63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630431"/>
        <c:axId val="1118572831"/>
      </c:barChart>
      <c:dateAx>
        <c:axId val="111863043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72831"/>
        <c:crosses val="autoZero"/>
        <c:auto val="1"/>
        <c:lblOffset val="100"/>
        <c:baseTimeUnit val="days"/>
      </c:dateAx>
      <c:valAx>
        <c:axId val="1118572831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3043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'Input Sheet'!$N$20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C4-49B1-9929-6B685F1BB491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4-49B1-9929-6B685F1BB49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C4-49B1-9929-6B685F1BB491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C4-49B1-9929-6B685F1BB491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C4-49B1-9929-6B685F1BB491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C4-49B1-9929-6B685F1BB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'Input Sheet'!$L$21:$L$25</c:f>
              <c:strCache>
                <c:ptCount val="5"/>
                <c:pt idx="0">
                  <c:v>Cigarettes</c:v>
                </c:pt>
                <c:pt idx="1">
                  <c:v>FMCG (Non-Cig)</c:v>
                </c:pt>
                <c:pt idx="2">
                  <c:v>Agri Business</c:v>
                </c:pt>
                <c:pt idx="3">
                  <c:v>Paper &amp; Packaging</c:v>
                </c:pt>
                <c:pt idx="4">
                  <c:v>Hotels</c:v>
                </c:pt>
              </c:strCache>
            </c:strRef>
          </c:cat>
          <c:val>
            <c:numRef>
              <c:f>'Input Sheet'!$N$21:$N$25</c:f>
              <c:numCache>
                <c:formatCode>0%</c:formatCode>
                <c:ptCount val="5"/>
                <c:pt idx="0">
                  <c:v>0.43</c:v>
                </c:pt>
                <c:pt idx="1">
                  <c:v>0.28999999999999998</c:v>
                </c:pt>
                <c:pt idx="2">
                  <c:v>0.2</c:v>
                </c:pt>
                <c:pt idx="3">
                  <c:v>7.0000000000000007E-2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C4-49B1-9929-6B685F1BB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2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27</xdr:row>
      <xdr:rowOff>7620</xdr:rowOff>
    </xdr:from>
    <xdr:to>
      <xdr:col>11</xdr:col>
      <xdr:colOff>0</xdr:colOff>
      <xdr:row>42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845FF5-14FE-087D-960A-A60A42C2F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154940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519A51-BB2E-317D-4C04-F0D2CEA7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32</xdr:col>
      <xdr:colOff>243840</xdr:colOff>
      <xdr:row>11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AF2A04D-F717-4A00-E0C2-AA859B12F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10160</xdr:colOff>
      <xdr:row>27</xdr:row>
      <xdr:rowOff>7620</xdr:rowOff>
    </xdr:from>
    <xdr:to>
      <xdr:col>16</xdr:col>
      <xdr:colOff>0</xdr:colOff>
      <xdr:row>39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FA4AB64-A090-F631-9BC7-4481FC67B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3</xdr:row>
      <xdr:rowOff>0</xdr:rowOff>
    </xdr:from>
    <xdr:to>
      <xdr:col>1</xdr:col>
      <xdr:colOff>1257300</xdr:colOff>
      <xdr:row>3</xdr:row>
      <xdr:rowOff>899160</xdr:rowOff>
    </xdr:to>
    <xdr:pic>
      <xdr:nvPicPr>
        <xdr:cNvPr id="3" name="Picture 2" descr="Download ITC Limited Logo in SVG Vector ...">
          <a:extLst>
            <a:ext uri="{FF2B5EF4-FFF2-40B4-BE49-F238E27FC236}">
              <a16:creationId xmlns:a16="http://schemas.microsoft.com/office/drawing/2014/main" id="{B8ED87D7-3329-B9CE-B379-7AF2BB3052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7" t="8120" r="9185" b="9538"/>
        <a:stretch>
          <a:fillRect/>
        </a:stretch>
      </xdr:blipFill>
      <xdr:spPr bwMode="auto">
        <a:xfrm>
          <a:off x="259080" y="457200"/>
          <a:ext cx="1127760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22860</xdr:colOff>
      <xdr:row>29</xdr:row>
      <xdr:rowOff>38100</xdr:rowOff>
    </xdr:from>
    <xdr:to>
      <xdr:col>12</xdr:col>
      <xdr:colOff>137160</xdr:colOff>
      <xdr:row>38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C0B877-0524-49C1-AB7A-9424E09EE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46</xdr:row>
      <xdr:rowOff>15240</xdr:rowOff>
    </xdr:from>
    <xdr:to>
      <xdr:col>7</xdr:col>
      <xdr:colOff>0</xdr:colOff>
      <xdr:row>51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B8BEF2-FC45-FA50-BD57-65FE5C62CAD0}"/>
            </a:ext>
          </a:extLst>
        </xdr:cNvPr>
        <xdr:cNvSpPr txBox="1"/>
      </xdr:nvSpPr>
      <xdr:spPr>
        <a:xfrm>
          <a:off x="129540" y="8389620"/>
          <a:ext cx="6659880" cy="8915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Notes</a:t>
          </a:r>
        </a:p>
        <a:p>
          <a:r>
            <a:rPr lang="en-IN" sz="800" b="1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1) </a:t>
          </a:r>
          <a:r>
            <a:rPr lang="en-IN" sz="8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number of permanent employees as on 31st March, 2025 was 22,041</a:t>
          </a:r>
          <a:r>
            <a:rPr lang="en-IN" sz="800" b="1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2) </a:t>
          </a:r>
          <a:r>
            <a:rPr lang="en-IN" sz="8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Compared to the financial year 2023-24, the figures for the financial year 2024-25 reflect that: (i) Median remuneration of employees - Increased by 7% (ii) Average remuneration of employees - Increased by 5% (iii) Average remuneration of employees excluding Key Managerial Personnel (KMPs) - Increased by 5% (iv) Remuneration of KMPs - Decreased by 11%</a:t>
          </a:r>
        </a:p>
        <a:p>
          <a:r>
            <a:rPr lang="en-IN" sz="800" b="1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3) </a:t>
          </a:r>
          <a:r>
            <a:rPr lang="en-IN" sz="8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Remuneration of Directors, KMPs and other employees is in accordance with the Company’s Remuneration Policy</a:t>
          </a:r>
          <a:endParaRPr lang="en-IN" sz="800" i="1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12</xdr:col>
      <xdr:colOff>0</xdr:colOff>
      <xdr:row>75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D10EE73-28E0-6842-E694-E0289A85A356}"/>
            </a:ext>
          </a:extLst>
        </xdr:cNvPr>
        <xdr:cNvSpPr txBox="1"/>
      </xdr:nvSpPr>
      <xdr:spPr>
        <a:xfrm>
          <a:off x="129540" y="9456420"/>
          <a:ext cx="9136380" cy="1463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Yoga Bar Acquisition: </a:t>
          </a:r>
          <a:r>
            <a:rPr lang="en-IN" sz="1100"/>
            <a:t>Effective today, April 1, ITC has officially taken operational control of Sproutlife Foods (Yoga Bar), making it a formal subsidiary to bolster its "Good for You" food portfolio.  </a:t>
          </a:r>
        </a:p>
        <a:p>
          <a:r>
            <a:rPr lang="en-IN" sz="1100"/>
            <a:t>​</a:t>
          </a:r>
          <a:r>
            <a:rPr lang="en-IN" sz="1100" b="1"/>
            <a:t>Hotel Demerger: </a:t>
          </a:r>
          <a:r>
            <a:rPr lang="en-IN" sz="1100"/>
            <a:t>The demerger process is complete; ITC Hotels Ltd now operates and trades as an independent entity, with ITC Ltd retaining a 40% direct stake.  </a:t>
          </a:r>
        </a:p>
        <a:p>
          <a:r>
            <a:rPr lang="en-IN" sz="1100"/>
            <a:t>​</a:t>
          </a:r>
          <a:r>
            <a:rPr lang="en-IN" sz="1100" b="1"/>
            <a:t>Stock Pressure: </a:t>
          </a:r>
          <a:r>
            <a:rPr lang="en-IN" sz="1100"/>
            <a:t>The share price hit a 52-week low (~₹287) at the end of March 2026, driven by investor concerns over a sharp hike in cigarette excise duties announced in February.  </a:t>
          </a:r>
        </a:p>
        <a:p>
          <a:r>
            <a:rPr lang="en-IN" sz="1100"/>
            <a:t>​</a:t>
          </a:r>
          <a:r>
            <a:rPr lang="en-IN" sz="1100" b="1"/>
            <a:t>Corporate Restructuring: </a:t>
          </a:r>
          <a:r>
            <a:rPr lang="en-IN" sz="1100"/>
            <a:t>On March 24, 2026, ITC dissolved its US-based step-down subsidiary, Blazeclan Americas Inc., as part of a global streamlining effort.  </a:t>
          </a:r>
        </a:p>
        <a:p>
          <a:r>
            <a:rPr lang="en-IN" sz="1100"/>
            <a:t>​</a:t>
          </a:r>
          <a:r>
            <a:rPr lang="en-IN" sz="1100" b="1"/>
            <a:t>Dividends: </a:t>
          </a:r>
          <a:r>
            <a:rPr lang="en-IN" sz="1100"/>
            <a:t>Shareholders recently benefited from an interim dividend of ₹6.50 per share declared during the Q3 FY26 earnings cycle.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12</xdr:col>
      <xdr:colOff>190500</xdr:colOff>
      <xdr:row>17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7D804C-DE15-4A3A-B04C-0718D33BB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7620</xdr:rowOff>
    </xdr:from>
    <xdr:to>
      <xdr:col>12</xdr:col>
      <xdr:colOff>0</xdr:colOff>
      <xdr:row>26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BF7012D-F8C3-4248-A7F4-F98D960B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22860</xdr:colOff>
      <xdr:row>53</xdr:row>
      <xdr:rowOff>7620</xdr:rowOff>
    </xdr:from>
    <xdr:to>
      <xdr:col>11</xdr:col>
      <xdr:colOff>586740</xdr:colOff>
      <xdr:row>65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8CC796-838E-43B8-AF21-DAE103B1C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59</xdr:row>
      <xdr:rowOff>22860</xdr:rowOff>
    </xdr:from>
    <xdr:to>
      <xdr:col>6</xdr:col>
      <xdr:colOff>594360</xdr:colOff>
      <xdr:row>64</xdr:row>
      <xdr:rowOff>91440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1AA8D7C-6046-4603-1F8F-97EA945C0310}"/>
            </a:ext>
          </a:extLst>
        </xdr:cNvPr>
        <xdr:cNvSpPr txBox="1"/>
      </xdr:nvSpPr>
      <xdr:spPr>
        <a:xfrm>
          <a:off x="129540" y="10553700"/>
          <a:ext cx="6256020" cy="982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0"/>
            <a:t>ITC</a:t>
          </a:r>
          <a:r>
            <a:rPr lang="en-IN" b="0" baseline="0"/>
            <a:t> LTD. </a:t>
          </a:r>
          <a:r>
            <a:rPr lang="en-IN" b="0"/>
            <a:t>derives around 43% of its revenue from cigarettes, making it the dominant segment in terms of contribution and profitability. The FMCG (non-cigarette) segment contributes 29%, showing strong growth and gradual diversification. Agri business accounts for 20%, providing stable support, while paper &amp; packaging contributes 7%. The hotels segment has a minimal share of 1%, indicating limited impact on overall revenue mix.</a:t>
          </a:r>
          <a:endParaRPr lang="en-IN" sz="1100" b="0"/>
        </a:p>
      </xdr:txBody>
    </xdr:sp>
    <xdr:clientData/>
  </xdr:twoCellAnchor>
  <xdr:twoCellAnchor>
    <xdr:from>
      <xdr:col>1</xdr:col>
      <xdr:colOff>8466</xdr:colOff>
      <xdr:row>75</xdr:row>
      <xdr:rowOff>8462</xdr:rowOff>
    </xdr:from>
    <xdr:to>
      <xdr:col>12</xdr:col>
      <xdr:colOff>6773</xdr:colOff>
      <xdr:row>76</xdr:row>
      <xdr:rowOff>118532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9E5437-D850-5C2B-6613-81159E2367BD}"/>
            </a:ext>
          </a:extLst>
        </xdr:cNvPr>
        <xdr:cNvSpPr txBox="1"/>
      </xdr:nvSpPr>
      <xdr:spPr>
        <a:xfrm>
          <a:off x="135466" y="13521262"/>
          <a:ext cx="9235440" cy="2963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i="1">
              <a:solidFill>
                <a:sysClr val="windowText" lastClr="000000"/>
              </a:solidFill>
            </a:rPr>
            <a:t>* Academic</a:t>
          </a:r>
          <a:r>
            <a:rPr lang="en-IN" sz="1000" i="1" baseline="0">
              <a:solidFill>
                <a:sysClr val="windowText" lastClr="000000"/>
              </a:solidFill>
            </a:rPr>
            <a:t> Purpose Only                                                                                                                                                                                                                    Preparaed by: Ker Mahekkumar</a:t>
          </a:r>
          <a:endParaRPr lang="en-IN" sz="1000" i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99A1-2326-4805-A921-B83DEB52A242}">
  <dimension ref="A2:B2"/>
  <sheetViews>
    <sheetView workbookViewId="0">
      <selection activeCell="B2" sqref="B2"/>
    </sheetView>
  </sheetViews>
  <sheetFormatPr defaultRowHeight="14.4" x14ac:dyDescent="0.3"/>
  <cols>
    <col min="1" max="1" width="25.77734375" customWidth="1"/>
    <col min="2" max="2" width="116.44140625" customWidth="1"/>
  </cols>
  <sheetData>
    <row r="2" spans="1:2" ht="55.8" customHeight="1" x14ac:dyDescent="0.3">
      <c r="A2" t="s">
        <v>82</v>
      </c>
      <c r="B2" s="24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C6AC-C494-46C7-9005-6F2DF7FA88AA}">
  <dimension ref="B2:W1236"/>
  <sheetViews>
    <sheetView topLeftCell="F18" zoomScaleNormal="100" workbookViewId="0">
      <selection activeCell="P26" sqref="P26"/>
    </sheetView>
  </sheetViews>
  <sheetFormatPr defaultRowHeight="14.4" x14ac:dyDescent="0.3"/>
  <cols>
    <col min="1" max="1" width="10.5546875" bestFit="1" customWidth="1"/>
    <col min="2" max="2" width="9.88671875" bestFit="1" customWidth="1"/>
    <col min="4" max="4" width="10.5546875" bestFit="1" customWidth="1"/>
    <col min="5" max="5" width="10.5546875" customWidth="1"/>
    <col min="6" max="6" width="39.88671875" bestFit="1" customWidth="1"/>
    <col min="8" max="8" width="10" bestFit="1" customWidth="1"/>
    <col min="9" max="9" width="10.5546875" bestFit="1" customWidth="1"/>
    <col min="10" max="10" width="10.33203125" bestFit="1" customWidth="1"/>
    <col min="11" max="11" width="11" customWidth="1"/>
    <col min="12" max="12" width="17.5546875" bestFit="1" customWidth="1"/>
    <col min="13" max="13" width="9.33203125" bestFit="1" customWidth="1"/>
    <col min="14" max="14" width="13.21875" bestFit="1" customWidth="1"/>
    <col min="21" max="21" width="10" bestFit="1" customWidth="1"/>
    <col min="23" max="23" width="10.33203125" bestFit="1" customWidth="1"/>
  </cols>
  <sheetData>
    <row r="2" spans="2:9" x14ac:dyDescent="0.3">
      <c r="B2" t="s">
        <v>151</v>
      </c>
      <c r="C2" t="s">
        <v>152</v>
      </c>
      <c r="D2" t="s">
        <v>153</v>
      </c>
      <c r="G2" s="30"/>
      <c r="I2" s="32"/>
    </row>
    <row r="3" spans="2:9" x14ac:dyDescent="0.3">
      <c r="B3" s="64">
        <v>46113</v>
      </c>
      <c r="C3">
        <v>291.7</v>
      </c>
      <c r="D3">
        <v>18.604340000000001</v>
      </c>
      <c r="G3" s="30"/>
      <c r="I3" s="32"/>
    </row>
    <row r="4" spans="2:9" x14ac:dyDescent="0.3">
      <c r="B4" s="64">
        <v>46111</v>
      </c>
      <c r="C4">
        <v>287.7</v>
      </c>
      <c r="D4">
        <v>24.586921</v>
      </c>
      <c r="G4" s="30"/>
      <c r="I4" s="32"/>
    </row>
    <row r="5" spans="2:9" x14ac:dyDescent="0.3">
      <c r="B5" s="64">
        <v>46108</v>
      </c>
      <c r="C5">
        <v>294.7</v>
      </c>
      <c r="D5">
        <v>22.179022</v>
      </c>
      <c r="G5" s="30"/>
      <c r="I5" s="32"/>
    </row>
    <row r="6" spans="2:9" x14ac:dyDescent="0.3">
      <c r="B6" s="64">
        <v>46106</v>
      </c>
      <c r="C6">
        <v>295.7</v>
      </c>
      <c r="D6">
        <v>26.184716000000002</v>
      </c>
      <c r="G6" s="30"/>
      <c r="I6" s="32"/>
    </row>
    <row r="7" spans="2:9" x14ac:dyDescent="0.3">
      <c r="B7" s="64">
        <v>46105</v>
      </c>
      <c r="C7">
        <v>291.25</v>
      </c>
      <c r="D7">
        <v>33.335720999999999</v>
      </c>
      <c r="G7" s="30"/>
      <c r="I7" s="32"/>
    </row>
    <row r="8" spans="2:9" x14ac:dyDescent="0.3">
      <c r="B8" s="64">
        <v>46104</v>
      </c>
      <c r="C8">
        <v>290.45</v>
      </c>
      <c r="D8">
        <v>31.788160000000001</v>
      </c>
      <c r="G8" s="30"/>
      <c r="I8" s="32"/>
    </row>
    <row r="9" spans="2:9" x14ac:dyDescent="0.3">
      <c r="B9" s="64">
        <v>46101</v>
      </c>
      <c r="C9">
        <v>299.95</v>
      </c>
      <c r="D9">
        <v>58.679529000000002</v>
      </c>
      <c r="G9" s="30"/>
      <c r="I9" s="32"/>
    </row>
    <row r="10" spans="2:9" x14ac:dyDescent="0.3">
      <c r="B10" s="64">
        <v>46100</v>
      </c>
      <c r="C10">
        <v>298</v>
      </c>
      <c r="D10">
        <v>17.851126000000001</v>
      </c>
      <c r="G10" s="30"/>
      <c r="I10" s="32"/>
    </row>
    <row r="11" spans="2:9" x14ac:dyDescent="0.3">
      <c r="B11" s="64">
        <v>46099</v>
      </c>
      <c r="C11">
        <v>304.05</v>
      </c>
      <c r="D11">
        <v>16.702553999999999</v>
      </c>
      <c r="G11" s="30"/>
      <c r="I11" s="32"/>
    </row>
    <row r="12" spans="2:9" x14ac:dyDescent="0.3">
      <c r="B12" s="64">
        <v>46098</v>
      </c>
      <c r="C12">
        <v>304.85000000000002</v>
      </c>
      <c r="D12">
        <v>25.649286</v>
      </c>
      <c r="G12" s="30"/>
      <c r="I12" s="32"/>
    </row>
    <row r="13" spans="2:9" x14ac:dyDescent="0.3">
      <c r="B13" s="64">
        <v>46097</v>
      </c>
      <c r="C13">
        <v>308.25</v>
      </c>
      <c r="D13">
        <v>37.472203999999998</v>
      </c>
      <c r="G13" s="30"/>
      <c r="I13" s="32"/>
    </row>
    <row r="14" spans="2:9" x14ac:dyDescent="0.3">
      <c r="B14" s="64">
        <v>46094</v>
      </c>
      <c r="C14">
        <v>301.45</v>
      </c>
      <c r="D14">
        <v>25.659996</v>
      </c>
      <c r="H14">
        <v>10000000</v>
      </c>
      <c r="I14">
        <v>100</v>
      </c>
    </row>
    <row r="15" spans="2:9" x14ac:dyDescent="0.3">
      <c r="B15" s="64">
        <v>46093</v>
      </c>
      <c r="C15">
        <v>304.10000000000002</v>
      </c>
      <c r="D15">
        <v>23.319679000000001</v>
      </c>
    </row>
    <row r="16" spans="2:9" x14ac:dyDescent="0.3">
      <c r="B16" s="64">
        <v>46092</v>
      </c>
      <c r="C16">
        <v>309</v>
      </c>
      <c r="D16">
        <v>14.842485</v>
      </c>
      <c r="F16" t="s">
        <v>110</v>
      </c>
      <c r="G16" t="s">
        <v>123</v>
      </c>
      <c r="H16" t="s">
        <v>124</v>
      </c>
      <c r="I16" t="s">
        <v>122</v>
      </c>
    </row>
    <row r="17" spans="2:20" x14ac:dyDescent="0.3">
      <c r="B17" s="64">
        <v>46091</v>
      </c>
      <c r="C17">
        <v>309.05</v>
      </c>
      <c r="D17">
        <v>18.35295</v>
      </c>
      <c r="F17" t="s">
        <v>111</v>
      </c>
      <c r="G17" s="42">
        <v>222.8495863</v>
      </c>
      <c r="H17" s="21">
        <v>0.1779</v>
      </c>
      <c r="I17" s="42">
        <f>291.4*G17</f>
        <v>64938.369447819998</v>
      </c>
    </row>
    <row r="18" spans="2:20" x14ac:dyDescent="0.3">
      <c r="B18" s="64">
        <v>46090</v>
      </c>
      <c r="C18">
        <v>306</v>
      </c>
      <c r="D18">
        <v>14.084930999999999</v>
      </c>
      <c r="F18" t="s">
        <v>112</v>
      </c>
      <c r="G18" s="42">
        <v>196.57973699999999</v>
      </c>
      <c r="H18" s="21">
        <v>0.15689999999999998</v>
      </c>
      <c r="I18" s="42">
        <f t="shared" ref="I18:I26" si="0">291.4*G18</f>
        <v>57283.335361799996</v>
      </c>
    </row>
    <row r="19" spans="2:20" x14ac:dyDescent="0.3">
      <c r="B19" s="64">
        <v>46087</v>
      </c>
      <c r="C19">
        <v>309.7</v>
      </c>
      <c r="D19">
        <v>21.288269</v>
      </c>
      <c r="F19" t="s">
        <v>113</v>
      </c>
      <c r="G19" s="42">
        <v>97.453142700000001</v>
      </c>
      <c r="H19" s="21">
        <v>7.7800000000000008E-2</v>
      </c>
      <c r="I19" s="42">
        <f t="shared" si="0"/>
        <v>28397.845782779998</v>
      </c>
    </row>
    <row r="20" spans="2:20" ht="28.8" x14ac:dyDescent="0.3">
      <c r="B20" s="64">
        <v>46086</v>
      </c>
      <c r="C20">
        <v>311.5</v>
      </c>
      <c r="D20">
        <v>19.938009000000001</v>
      </c>
      <c r="F20" t="s">
        <v>114</v>
      </c>
      <c r="G20" s="42">
        <v>48.631194000000001</v>
      </c>
      <c r="H20" s="21">
        <v>3.8800000000000001E-2</v>
      </c>
      <c r="I20" s="42">
        <f t="shared" si="0"/>
        <v>14171.129931599999</v>
      </c>
      <c r="L20" s="65" t="s">
        <v>154</v>
      </c>
      <c r="M20" s="65" t="s">
        <v>155</v>
      </c>
      <c r="N20" s="65" t="s">
        <v>156</v>
      </c>
    </row>
    <row r="21" spans="2:20" x14ac:dyDescent="0.3">
      <c r="B21" s="64">
        <v>46085</v>
      </c>
      <c r="C21">
        <v>311.95</v>
      </c>
      <c r="D21">
        <v>24.165489000000001</v>
      </c>
      <c r="F21" t="s">
        <v>115</v>
      </c>
      <c r="G21" s="42">
        <v>41.195288699999999</v>
      </c>
      <c r="H21" s="21">
        <v>3.2899999999999999E-2</v>
      </c>
      <c r="I21" s="42">
        <f t="shared" si="0"/>
        <v>12004.307127179998</v>
      </c>
      <c r="L21" s="66" t="s">
        <v>157</v>
      </c>
      <c r="M21" s="67">
        <v>32500</v>
      </c>
      <c r="N21" s="68">
        <v>0.43</v>
      </c>
    </row>
    <row r="22" spans="2:20" x14ac:dyDescent="0.3">
      <c r="B22" s="64">
        <v>46083</v>
      </c>
      <c r="C22">
        <v>314.89999999999998</v>
      </c>
      <c r="D22">
        <v>22.194310999999999</v>
      </c>
      <c r="F22" t="s">
        <v>116</v>
      </c>
      <c r="G22" s="42">
        <v>38.825180199999998</v>
      </c>
      <c r="H22" s="21">
        <v>3.1E-2</v>
      </c>
      <c r="I22" s="42">
        <f t="shared" si="0"/>
        <v>11313.657510279998</v>
      </c>
      <c r="L22" s="66" t="s">
        <v>158</v>
      </c>
      <c r="M22" s="67">
        <v>22000</v>
      </c>
      <c r="N22" s="68">
        <v>0.28999999999999998</v>
      </c>
    </row>
    <row r="23" spans="2:20" x14ac:dyDescent="0.3">
      <c r="B23" s="64">
        <v>46080</v>
      </c>
      <c r="C23">
        <v>313.60000000000002</v>
      </c>
      <c r="D23">
        <v>13.892595</v>
      </c>
      <c r="F23" t="s">
        <v>117</v>
      </c>
      <c r="G23" s="42">
        <v>31.2813783</v>
      </c>
      <c r="H23" s="21">
        <v>2.5000000000000001E-2</v>
      </c>
      <c r="I23" s="42">
        <f t="shared" si="0"/>
        <v>9115.3936366199996</v>
      </c>
      <c r="L23" s="66" t="s">
        <v>159</v>
      </c>
      <c r="M23" s="67">
        <v>15000</v>
      </c>
      <c r="N23" s="68">
        <v>0.2</v>
      </c>
    </row>
    <row r="24" spans="2:20" x14ac:dyDescent="0.3">
      <c r="B24" s="64">
        <v>46079</v>
      </c>
      <c r="C24">
        <v>318.3</v>
      </c>
      <c r="D24">
        <v>11.270118999999999</v>
      </c>
      <c r="F24" t="s">
        <v>118</v>
      </c>
      <c r="G24" s="42">
        <v>22.380053</v>
      </c>
      <c r="H24" s="21">
        <v>1.7899999999999999E-2</v>
      </c>
      <c r="I24" s="42">
        <f t="shared" si="0"/>
        <v>6521.5474441999995</v>
      </c>
      <c r="L24" s="66" t="s">
        <v>160</v>
      </c>
      <c r="M24" s="67">
        <v>5000</v>
      </c>
      <c r="N24" s="68">
        <v>7.0000000000000007E-2</v>
      </c>
    </row>
    <row r="25" spans="2:20" x14ac:dyDescent="0.3">
      <c r="B25" s="64">
        <v>46078</v>
      </c>
      <c r="C25">
        <v>319.75</v>
      </c>
      <c r="D25">
        <v>13.492101</v>
      </c>
      <c r="F25" t="s">
        <v>119</v>
      </c>
      <c r="G25" s="42">
        <v>21.708550800000001</v>
      </c>
      <c r="H25" s="21">
        <v>1.7299999999999999E-2</v>
      </c>
      <c r="I25" s="42">
        <f t="shared" si="0"/>
        <v>6325.8717031199994</v>
      </c>
      <c r="L25" s="66" t="s">
        <v>161</v>
      </c>
      <c r="M25" s="66">
        <v>800</v>
      </c>
      <c r="N25" s="68">
        <v>0.01</v>
      </c>
    </row>
    <row r="26" spans="2:20" x14ac:dyDescent="0.3">
      <c r="B26" s="64">
        <v>46077</v>
      </c>
      <c r="C26">
        <v>323.5</v>
      </c>
      <c r="D26">
        <v>13.135859</v>
      </c>
      <c r="F26" t="s">
        <v>120</v>
      </c>
      <c r="G26" s="42">
        <v>20.230529600000001</v>
      </c>
      <c r="H26" s="21">
        <v>1.6200000000000003E-2</v>
      </c>
      <c r="I26" s="42">
        <f t="shared" si="0"/>
        <v>5895.1763254399993</v>
      </c>
      <c r="L26" s="69" t="s">
        <v>26</v>
      </c>
      <c r="M26" s="67">
        <v>75300</v>
      </c>
      <c r="N26" s="68">
        <v>1</v>
      </c>
    </row>
    <row r="27" spans="2:20" x14ac:dyDescent="0.3">
      <c r="B27" s="64">
        <v>46076</v>
      </c>
      <c r="C27">
        <v>325.39999999999998</v>
      </c>
      <c r="D27">
        <v>13.486091999999999</v>
      </c>
    </row>
    <row r="28" spans="2:20" x14ac:dyDescent="0.3">
      <c r="B28" s="64">
        <v>46073</v>
      </c>
      <c r="C28">
        <v>327</v>
      </c>
      <c r="D28">
        <v>11.282026999999999</v>
      </c>
      <c r="F28" t="s">
        <v>126</v>
      </c>
      <c r="G28" s="5">
        <v>0.36109999999999998</v>
      </c>
      <c r="H28" s="5"/>
      <c r="I28" s="5"/>
      <c r="J28" s="5"/>
    </row>
    <row r="29" spans="2:20" x14ac:dyDescent="0.3">
      <c r="B29" s="64">
        <v>46072</v>
      </c>
      <c r="C29">
        <v>326</v>
      </c>
      <c r="D29">
        <v>19.911746999999998</v>
      </c>
      <c r="F29" t="s">
        <v>125</v>
      </c>
      <c r="G29" s="5">
        <v>0.48899999999999999</v>
      </c>
      <c r="H29" s="5"/>
      <c r="I29" s="5"/>
      <c r="J29" s="5"/>
    </row>
    <row r="30" spans="2:20" x14ac:dyDescent="0.3">
      <c r="B30" s="64">
        <v>46071</v>
      </c>
      <c r="C30">
        <v>332.45</v>
      </c>
      <c r="D30">
        <v>35.473202999999998</v>
      </c>
      <c r="F30" t="s">
        <v>127</v>
      </c>
      <c r="G30" s="5">
        <f>14.99%</f>
        <v>0.14990000000000001</v>
      </c>
      <c r="H30" s="5"/>
      <c r="I30" s="5"/>
      <c r="J30" s="5"/>
    </row>
    <row r="31" spans="2:20" x14ac:dyDescent="0.3">
      <c r="B31" s="64">
        <v>46070</v>
      </c>
      <c r="C31">
        <v>325.45</v>
      </c>
      <c r="D31">
        <v>39.360672000000001</v>
      </c>
      <c r="F31" s="33"/>
      <c r="G31" s="30"/>
      <c r="I31" s="32"/>
      <c r="T31" s="5"/>
    </row>
    <row r="32" spans="2:20" x14ac:dyDescent="0.3">
      <c r="B32" s="64">
        <v>46069</v>
      </c>
      <c r="C32">
        <v>317.95</v>
      </c>
      <c r="D32">
        <v>11.693763000000001</v>
      </c>
      <c r="F32" s="33"/>
      <c r="G32" s="30"/>
      <c r="I32" s="32"/>
      <c r="T32" s="5"/>
    </row>
    <row r="33" spans="2:20" x14ac:dyDescent="0.3">
      <c r="B33" s="64">
        <v>46066</v>
      </c>
      <c r="C33">
        <v>313.75</v>
      </c>
      <c r="D33">
        <v>8.7306179999999998</v>
      </c>
      <c r="F33" s="33"/>
      <c r="G33" s="30"/>
      <c r="I33" s="32"/>
      <c r="T33" s="5"/>
    </row>
    <row r="34" spans="2:20" x14ac:dyDescent="0.3">
      <c r="B34" s="64">
        <v>46065</v>
      </c>
      <c r="C34">
        <v>317.45</v>
      </c>
      <c r="D34">
        <v>13.294561</v>
      </c>
      <c r="F34" s="33"/>
      <c r="G34" s="30"/>
      <c r="I34" s="32"/>
      <c r="L34" s="5"/>
      <c r="M34" s="5"/>
      <c r="N34" s="5"/>
      <c r="O34" s="5"/>
      <c r="P34" s="5"/>
      <c r="Q34" s="5"/>
      <c r="R34" s="5"/>
      <c r="S34" s="5"/>
      <c r="T34" s="5"/>
    </row>
    <row r="35" spans="2:20" x14ac:dyDescent="0.3">
      <c r="B35" s="64">
        <v>46064</v>
      </c>
      <c r="C35">
        <v>318.25</v>
      </c>
      <c r="D35">
        <v>24.843366</v>
      </c>
      <c r="F35" s="33"/>
      <c r="G35" s="30"/>
      <c r="I35" s="32"/>
    </row>
    <row r="36" spans="2:20" x14ac:dyDescent="0.3">
      <c r="B36" s="64">
        <v>46063</v>
      </c>
      <c r="C36">
        <v>321.39999999999998</v>
      </c>
      <c r="D36">
        <v>11.489089999999999</v>
      </c>
      <c r="F36" s="33"/>
      <c r="G36" s="30"/>
      <c r="I36" s="32"/>
    </row>
    <row r="37" spans="2:20" x14ac:dyDescent="0.3">
      <c r="B37" s="64">
        <v>46062</v>
      </c>
      <c r="C37">
        <v>322.8</v>
      </c>
      <c r="D37">
        <v>20.059197999999999</v>
      </c>
      <c r="F37" s="33"/>
      <c r="G37" s="30"/>
      <c r="I37" s="32"/>
    </row>
    <row r="38" spans="2:20" x14ac:dyDescent="0.3">
      <c r="B38" s="64">
        <v>46059</v>
      </c>
      <c r="C38">
        <v>325.8</v>
      </c>
      <c r="D38">
        <v>68.057744999999997</v>
      </c>
      <c r="F38" s="33"/>
      <c r="G38" s="30"/>
      <c r="I38" s="32"/>
    </row>
    <row r="39" spans="2:20" x14ac:dyDescent="0.3">
      <c r="B39" s="64">
        <v>46058</v>
      </c>
      <c r="C39">
        <v>310.2</v>
      </c>
      <c r="D39">
        <v>15.816704</v>
      </c>
      <c r="F39" s="33"/>
      <c r="G39" s="30"/>
      <c r="I39" s="32"/>
    </row>
    <row r="40" spans="2:20" x14ac:dyDescent="0.3">
      <c r="B40" s="64">
        <v>46057</v>
      </c>
      <c r="C40">
        <v>313.85000000000002</v>
      </c>
      <c r="D40">
        <v>11.196759</v>
      </c>
      <c r="F40" s="33"/>
      <c r="G40" s="30"/>
      <c r="I40" s="32"/>
    </row>
    <row r="41" spans="2:20" x14ac:dyDescent="0.3">
      <c r="B41" s="64">
        <v>46056</v>
      </c>
      <c r="C41">
        <v>316.64999999999998</v>
      </c>
      <c r="D41">
        <v>33.168353000000003</v>
      </c>
      <c r="F41" s="33"/>
      <c r="G41" s="30"/>
      <c r="I41" s="32"/>
    </row>
    <row r="42" spans="2:20" x14ac:dyDescent="0.3">
      <c r="B42" s="64">
        <v>46055</v>
      </c>
      <c r="C42">
        <v>314.7</v>
      </c>
      <c r="D42">
        <v>35.227572000000002</v>
      </c>
      <c r="F42" s="33"/>
      <c r="G42" s="30"/>
      <c r="I42" s="32"/>
    </row>
    <row r="43" spans="2:20" x14ac:dyDescent="0.3">
      <c r="B43" s="64">
        <v>46054</v>
      </c>
      <c r="C43">
        <v>309.45</v>
      </c>
      <c r="D43">
        <v>33.278995000000002</v>
      </c>
      <c r="F43" s="33"/>
      <c r="G43" s="30"/>
      <c r="I43" s="32"/>
    </row>
    <row r="44" spans="2:20" x14ac:dyDescent="0.3">
      <c r="B44" s="64">
        <v>46052</v>
      </c>
      <c r="C44">
        <v>322.14999999999998</v>
      </c>
      <c r="D44">
        <v>41.975824000000003</v>
      </c>
      <c r="F44" s="33"/>
      <c r="G44" s="30"/>
      <c r="I44" s="32"/>
    </row>
    <row r="45" spans="2:20" x14ac:dyDescent="0.3">
      <c r="B45" s="64">
        <v>46051</v>
      </c>
      <c r="C45">
        <v>318.60000000000002</v>
      </c>
      <c r="D45">
        <v>17.71942</v>
      </c>
      <c r="F45" s="33"/>
      <c r="G45" s="30"/>
      <c r="I45" s="32"/>
    </row>
    <row r="46" spans="2:20" x14ac:dyDescent="0.3">
      <c r="B46" s="64">
        <v>46050</v>
      </c>
      <c r="C46">
        <v>321.14999999999998</v>
      </c>
      <c r="D46">
        <v>28.400238000000002</v>
      </c>
      <c r="F46" s="33"/>
      <c r="G46" s="30"/>
      <c r="I46" s="32"/>
    </row>
    <row r="47" spans="2:20" x14ac:dyDescent="0.3">
      <c r="B47" s="64">
        <v>46049</v>
      </c>
      <c r="C47">
        <v>318.64999999999998</v>
      </c>
      <c r="D47">
        <v>47.847783999999997</v>
      </c>
      <c r="F47" s="33"/>
      <c r="G47" s="30"/>
      <c r="I47" s="32"/>
    </row>
    <row r="48" spans="2:20" x14ac:dyDescent="0.3">
      <c r="B48" s="64">
        <v>46045</v>
      </c>
      <c r="C48">
        <v>323.39999999999998</v>
      </c>
      <c r="D48">
        <v>11.950089</v>
      </c>
      <c r="F48" s="33"/>
      <c r="G48" s="30"/>
      <c r="I48" s="32"/>
    </row>
    <row r="49" spans="2:9" x14ac:dyDescent="0.3">
      <c r="B49" s="64">
        <v>46044</v>
      </c>
      <c r="C49">
        <v>324.85000000000002</v>
      </c>
      <c r="D49">
        <v>18.622852000000002</v>
      </c>
      <c r="F49" s="33"/>
      <c r="G49" s="30"/>
      <c r="I49" s="32"/>
    </row>
    <row r="50" spans="2:9" x14ac:dyDescent="0.3">
      <c r="B50" s="64">
        <v>46043</v>
      </c>
      <c r="C50">
        <v>324.75</v>
      </c>
      <c r="D50">
        <v>14.177965</v>
      </c>
      <c r="F50" s="33"/>
      <c r="G50" s="30"/>
      <c r="I50" s="32"/>
    </row>
    <row r="51" spans="2:9" x14ac:dyDescent="0.3">
      <c r="B51" s="64">
        <v>46042</v>
      </c>
      <c r="C51">
        <v>326.3</v>
      </c>
      <c r="D51">
        <v>18.771011000000001</v>
      </c>
      <c r="F51" s="33"/>
      <c r="G51" s="30"/>
      <c r="I51" s="32"/>
    </row>
    <row r="52" spans="2:9" x14ac:dyDescent="0.3">
      <c r="B52" s="64">
        <v>46041</v>
      </c>
      <c r="C52">
        <v>333.2</v>
      </c>
      <c r="D52">
        <v>15.507440000000001</v>
      </c>
      <c r="F52" s="33"/>
      <c r="G52" s="30"/>
      <c r="I52" s="32"/>
    </row>
    <row r="53" spans="2:9" x14ac:dyDescent="0.3">
      <c r="B53" s="64">
        <v>46038</v>
      </c>
      <c r="C53">
        <v>329.2</v>
      </c>
      <c r="D53">
        <v>30.526897999999999</v>
      </c>
      <c r="F53" s="33"/>
      <c r="G53" s="30"/>
      <c r="I53" s="32"/>
    </row>
    <row r="54" spans="2:9" x14ac:dyDescent="0.3">
      <c r="B54" s="64">
        <v>46036</v>
      </c>
      <c r="C54">
        <v>334.75</v>
      </c>
      <c r="D54">
        <v>14.913422000000001</v>
      </c>
      <c r="F54" s="33"/>
      <c r="G54" s="30"/>
      <c r="I54" s="32"/>
    </row>
    <row r="55" spans="2:9" x14ac:dyDescent="0.3">
      <c r="B55" s="64">
        <v>46035</v>
      </c>
      <c r="C55">
        <v>334.7</v>
      </c>
      <c r="D55">
        <v>24.922339000000001</v>
      </c>
      <c r="F55" s="33"/>
      <c r="G55" s="30"/>
      <c r="I55" s="32"/>
    </row>
    <row r="56" spans="2:9" x14ac:dyDescent="0.3">
      <c r="B56" s="64">
        <v>46034</v>
      </c>
      <c r="C56">
        <v>338.4</v>
      </c>
      <c r="D56">
        <v>16.156143</v>
      </c>
      <c r="F56" s="33"/>
      <c r="G56" s="30"/>
      <c r="I56" s="32"/>
    </row>
    <row r="57" spans="2:9" x14ac:dyDescent="0.3">
      <c r="B57" s="64">
        <v>46031</v>
      </c>
      <c r="C57">
        <v>337.15</v>
      </c>
      <c r="D57">
        <v>35.193201000000002</v>
      </c>
      <c r="F57" s="33"/>
      <c r="G57" s="30"/>
      <c r="I57" s="32"/>
    </row>
    <row r="58" spans="2:9" x14ac:dyDescent="0.3">
      <c r="B58" s="64">
        <v>46030</v>
      </c>
      <c r="C58">
        <v>340.9</v>
      </c>
      <c r="D58">
        <v>36.706319000000001</v>
      </c>
      <c r="F58" s="33"/>
      <c r="G58" s="30"/>
      <c r="I58" s="32"/>
    </row>
    <row r="59" spans="2:9" x14ac:dyDescent="0.3">
      <c r="B59" s="64">
        <v>46029</v>
      </c>
      <c r="C59">
        <v>341.25</v>
      </c>
      <c r="D59">
        <v>29.440733999999999</v>
      </c>
      <c r="F59" s="33"/>
      <c r="G59" s="30"/>
      <c r="I59" s="32"/>
    </row>
    <row r="60" spans="2:9" x14ac:dyDescent="0.3">
      <c r="B60" s="64">
        <v>46028</v>
      </c>
      <c r="C60">
        <v>342.45</v>
      </c>
      <c r="D60">
        <v>72.582738000000006</v>
      </c>
      <c r="F60" s="33"/>
      <c r="G60" s="30"/>
      <c r="I60" s="32"/>
    </row>
    <row r="61" spans="2:9" x14ac:dyDescent="0.3">
      <c r="B61" s="64">
        <v>46027</v>
      </c>
      <c r="C61">
        <v>349.7</v>
      </c>
      <c r="D61">
        <v>48.358123999999997</v>
      </c>
      <c r="F61" s="33"/>
      <c r="G61" s="30"/>
      <c r="I61" s="32"/>
    </row>
    <row r="62" spans="2:9" x14ac:dyDescent="0.3">
      <c r="B62" s="64">
        <v>46024</v>
      </c>
      <c r="C62">
        <v>350.05</v>
      </c>
      <c r="D62">
        <v>118.790358</v>
      </c>
      <c r="F62" s="33"/>
      <c r="G62" s="30"/>
      <c r="I62" s="32"/>
    </row>
    <row r="63" spans="2:9" x14ac:dyDescent="0.3">
      <c r="B63" s="64">
        <v>46023</v>
      </c>
      <c r="C63">
        <v>363.85</v>
      </c>
      <c r="D63">
        <v>282.62671</v>
      </c>
      <c r="F63" s="33"/>
      <c r="G63" s="30"/>
      <c r="I63" s="32"/>
    </row>
    <row r="64" spans="2:9" x14ac:dyDescent="0.3">
      <c r="B64" s="64">
        <v>46022</v>
      </c>
      <c r="C64">
        <v>403</v>
      </c>
      <c r="D64">
        <v>9.9451090000000004</v>
      </c>
      <c r="F64" s="33"/>
      <c r="G64" s="30"/>
      <c r="I64" s="32"/>
    </row>
    <row r="65" spans="2:9" x14ac:dyDescent="0.3">
      <c r="B65" s="64">
        <v>46021</v>
      </c>
      <c r="C65">
        <v>400.6</v>
      </c>
      <c r="D65">
        <v>12.340527</v>
      </c>
      <c r="F65" s="33"/>
      <c r="G65" s="30"/>
      <c r="I65" s="32"/>
    </row>
    <row r="66" spans="2:9" x14ac:dyDescent="0.3">
      <c r="B66" s="64">
        <v>46020</v>
      </c>
      <c r="C66">
        <v>402.6</v>
      </c>
      <c r="D66">
        <v>6.64771</v>
      </c>
      <c r="F66" s="33"/>
      <c r="G66" s="30"/>
      <c r="I66" s="32"/>
    </row>
    <row r="67" spans="2:9" x14ac:dyDescent="0.3">
      <c r="B67" s="64">
        <v>46017</v>
      </c>
      <c r="C67">
        <v>404.15</v>
      </c>
      <c r="D67">
        <v>3.1524529999999999</v>
      </c>
      <c r="F67" s="33"/>
      <c r="G67" s="30"/>
      <c r="I67" s="32"/>
    </row>
    <row r="68" spans="2:9" x14ac:dyDescent="0.3">
      <c r="B68" s="64">
        <v>46015</v>
      </c>
      <c r="C68">
        <v>406.6</v>
      </c>
      <c r="D68">
        <v>5.7774299999999998</v>
      </c>
      <c r="F68" s="33"/>
      <c r="G68" s="30"/>
      <c r="I68" s="32"/>
    </row>
    <row r="69" spans="2:9" x14ac:dyDescent="0.3">
      <c r="B69" s="64">
        <v>46014</v>
      </c>
      <c r="C69">
        <v>407.35</v>
      </c>
      <c r="D69">
        <v>10.081996999999999</v>
      </c>
      <c r="F69" s="33"/>
      <c r="G69" s="30"/>
      <c r="I69" s="32"/>
    </row>
    <row r="70" spans="2:9" x14ac:dyDescent="0.3">
      <c r="B70" s="64">
        <v>46013</v>
      </c>
      <c r="C70">
        <v>402.7</v>
      </c>
      <c r="D70">
        <v>6.8478709999999996</v>
      </c>
      <c r="F70" s="33"/>
      <c r="G70" s="30"/>
      <c r="I70" s="32"/>
    </row>
    <row r="71" spans="2:9" x14ac:dyDescent="0.3">
      <c r="B71" s="64">
        <v>46010</v>
      </c>
      <c r="C71">
        <v>401.05</v>
      </c>
      <c r="D71">
        <v>10.654835</v>
      </c>
      <c r="F71" s="33"/>
      <c r="G71" s="30"/>
      <c r="I71" s="32"/>
    </row>
    <row r="72" spans="2:9" x14ac:dyDescent="0.3">
      <c r="B72" s="64">
        <v>46009</v>
      </c>
      <c r="C72">
        <v>400.4</v>
      </c>
      <c r="D72">
        <v>7.2276680000000004</v>
      </c>
      <c r="F72" s="33"/>
      <c r="G72" s="30"/>
      <c r="I72" s="32"/>
    </row>
    <row r="73" spans="2:9" x14ac:dyDescent="0.3">
      <c r="B73" s="64">
        <v>46008</v>
      </c>
      <c r="C73">
        <v>399.8</v>
      </c>
      <c r="D73">
        <v>8.0874900000000007</v>
      </c>
      <c r="F73" s="33"/>
      <c r="G73" s="30"/>
      <c r="I73" s="32"/>
    </row>
    <row r="74" spans="2:9" x14ac:dyDescent="0.3">
      <c r="B74" s="64">
        <v>46007</v>
      </c>
      <c r="C74">
        <v>401.7</v>
      </c>
      <c r="D74">
        <v>12.347384</v>
      </c>
      <c r="F74" s="33"/>
      <c r="G74" s="30"/>
      <c r="I74" s="32"/>
    </row>
    <row r="75" spans="2:9" x14ac:dyDescent="0.3">
      <c r="B75" s="64">
        <v>46006</v>
      </c>
      <c r="C75">
        <v>402.3</v>
      </c>
      <c r="D75">
        <v>7.756564</v>
      </c>
      <c r="F75" s="33"/>
      <c r="G75" s="30"/>
      <c r="I75" s="32"/>
    </row>
    <row r="76" spans="2:9" x14ac:dyDescent="0.3">
      <c r="B76" s="64">
        <v>46003</v>
      </c>
      <c r="C76">
        <v>400.1</v>
      </c>
      <c r="D76">
        <v>12.407515999999999</v>
      </c>
      <c r="F76" s="33"/>
      <c r="G76" s="30"/>
      <c r="I76" s="32"/>
    </row>
    <row r="77" spans="2:9" x14ac:dyDescent="0.3">
      <c r="B77" s="64">
        <v>46002</v>
      </c>
      <c r="C77">
        <v>402.9</v>
      </c>
      <c r="D77">
        <v>6.9801469999999997</v>
      </c>
      <c r="F77" s="33"/>
      <c r="G77" s="30"/>
      <c r="I77" s="32"/>
    </row>
    <row r="78" spans="2:9" x14ac:dyDescent="0.3">
      <c r="B78" s="64">
        <v>46001</v>
      </c>
      <c r="C78">
        <v>403.15</v>
      </c>
      <c r="D78">
        <v>6.9691460000000003</v>
      </c>
      <c r="F78" s="33"/>
      <c r="G78" s="30"/>
      <c r="I78" s="32"/>
    </row>
    <row r="79" spans="2:9" x14ac:dyDescent="0.3">
      <c r="B79" s="64">
        <v>46000</v>
      </c>
      <c r="C79">
        <v>401.05</v>
      </c>
      <c r="D79">
        <v>9.426717</v>
      </c>
      <c r="F79" s="33"/>
      <c r="G79" s="30"/>
      <c r="I79" s="32"/>
    </row>
    <row r="80" spans="2:9" x14ac:dyDescent="0.3">
      <c r="B80" s="64">
        <v>45999</v>
      </c>
      <c r="C80">
        <v>402.3</v>
      </c>
      <c r="D80">
        <v>6.0568660000000003</v>
      </c>
      <c r="F80" s="33"/>
      <c r="G80" s="30"/>
      <c r="I80" s="32"/>
    </row>
    <row r="81" spans="2:9" x14ac:dyDescent="0.3">
      <c r="B81" s="64">
        <v>45996</v>
      </c>
      <c r="C81">
        <v>404.95</v>
      </c>
      <c r="D81">
        <v>4.4197470000000001</v>
      </c>
      <c r="F81" s="33"/>
      <c r="G81" s="30"/>
      <c r="I81" s="32"/>
    </row>
    <row r="82" spans="2:9" x14ac:dyDescent="0.3">
      <c r="B82" s="64">
        <v>45995</v>
      </c>
      <c r="C82">
        <v>403.05</v>
      </c>
      <c r="D82">
        <v>8.0579889999999992</v>
      </c>
      <c r="F82" s="33"/>
      <c r="G82" s="30"/>
      <c r="I82" s="32"/>
    </row>
    <row r="83" spans="2:9" x14ac:dyDescent="0.3">
      <c r="B83" s="64">
        <v>45994</v>
      </c>
      <c r="C83">
        <v>400.5</v>
      </c>
      <c r="D83">
        <v>10.772192</v>
      </c>
      <c r="F83" s="33"/>
      <c r="G83" s="30"/>
      <c r="I83" s="32"/>
    </row>
    <row r="84" spans="2:9" x14ac:dyDescent="0.3">
      <c r="B84" s="64">
        <v>45993</v>
      </c>
      <c r="C84">
        <v>400.95</v>
      </c>
      <c r="D84">
        <v>8.0938079999999992</v>
      </c>
      <c r="F84" s="33"/>
      <c r="G84" s="30"/>
      <c r="I84" s="32"/>
    </row>
    <row r="85" spans="2:9" x14ac:dyDescent="0.3">
      <c r="B85" s="64">
        <v>45992</v>
      </c>
      <c r="C85">
        <v>404.25</v>
      </c>
      <c r="D85">
        <v>13.442658</v>
      </c>
      <c r="F85" s="33"/>
      <c r="G85" s="30"/>
      <c r="I85" s="32"/>
    </row>
    <row r="86" spans="2:9" x14ac:dyDescent="0.3">
      <c r="B86" s="64">
        <v>45989</v>
      </c>
      <c r="C86">
        <v>404.25</v>
      </c>
      <c r="D86">
        <v>6.8834999999999997</v>
      </c>
      <c r="F86" s="33"/>
      <c r="G86" s="30"/>
      <c r="I86" s="32"/>
    </row>
    <row r="87" spans="2:9" x14ac:dyDescent="0.3">
      <c r="B87" s="64">
        <v>45988</v>
      </c>
      <c r="C87">
        <v>404.3</v>
      </c>
      <c r="D87">
        <v>8.6795290000000005</v>
      </c>
      <c r="F87" s="33"/>
      <c r="G87" s="30"/>
      <c r="I87" s="32"/>
    </row>
    <row r="88" spans="2:9" x14ac:dyDescent="0.3">
      <c r="B88" s="64">
        <v>45987</v>
      </c>
      <c r="C88">
        <v>402.3</v>
      </c>
      <c r="D88">
        <v>11.443953</v>
      </c>
      <c r="F88" s="33"/>
      <c r="G88" s="30"/>
      <c r="I88" s="32"/>
    </row>
    <row r="89" spans="2:9" x14ac:dyDescent="0.3">
      <c r="B89" s="64">
        <v>45986</v>
      </c>
      <c r="C89">
        <v>400.8</v>
      </c>
      <c r="D89">
        <v>8.1997850000000003</v>
      </c>
      <c r="F89" s="33"/>
      <c r="G89" s="30"/>
      <c r="I89" s="32"/>
    </row>
    <row r="90" spans="2:9" x14ac:dyDescent="0.3">
      <c r="B90" s="64">
        <v>45985</v>
      </c>
      <c r="C90">
        <v>403.55</v>
      </c>
      <c r="D90">
        <v>11.037490999999999</v>
      </c>
      <c r="F90" s="33"/>
      <c r="G90" s="30"/>
      <c r="I90" s="32"/>
    </row>
    <row r="91" spans="2:9" x14ac:dyDescent="0.3">
      <c r="B91" s="64">
        <v>45982</v>
      </c>
      <c r="C91">
        <v>407.85</v>
      </c>
      <c r="D91">
        <v>5.8081310000000004</v>
      </c>
      <c r="F91" s="33"/>
      <c r="G91" s="30"/>
      <c r="I91" s="32"/>
    </row>
    <row r="92" spans="2:9" x14ac:dyDescent="0.3">
      <c r="B92" s="64">
        <v>45981</v>
      </c>
      <c r="C92">
        <v>405.45</v>
      </c>
      <c r="D92">
        <v>6.6934100000000001</v>
      </c>
      <c r="F92" s="33"/>
      <c r="G92" s="30"/>
      <c r="I92" s="32"/>
    </row>
    <row r="93" spans="2:9" x14ac:dyDescent="0.3">
      <c r="B93" s="64">
        <v>45980</v>
      </c>
      <c r="C93">
        <v>403.55</v>
      </c>
      <c r="D93">
        <v>7.8824500000000004</v>
      </c>
      <c r="F93" s="33"/>
      <c r="G93" s="30"/>
      <c r="I93" s="32"/>
    </row>
    <row r="94" spans="2:9" x14ac:dyDescent="0.3">
      <c r="B94" s="64">
        <v>45979</v>
      </c>
      <c r="C94">
        <v>405.85</v>
      </c>
      <c r="D94">
        <v>7.6616809999999997</v>
      </c>
      <c r="F94" s="33"/>
      <c r="G94" s="30"/>
      <c r="I94" s="32"/>
    </row>
    <row r="95" spans="2:9" x14ac:dyDescent="0.3">
      <c r="B95" s="64">
        <v>45979</v>
      </c>
      <c r="C95">
        <v>407.1</v>
      </c>
      <c r="D95">
        <v>47.551346000000002</v>
      </c>
      <c r="F95" s="33"/>
      <c r="G95" s="30"/>
      <c r="I95" s="32"/>
    </row>
    <row r="96" spans="2:9" x14ac:dyDescent="0.3">
      <c r="B96" s="64">
        <v>45978</v>
      </c>
      <c r="C96">
        <v>407.1</v>
      </c>
      <c r="D96">
        <v>7.8553990000000002</v>
      </c>
      <c r="F96" s="33"/>
      <c r="G96" s="30"/>
      <c r="I96" s="32"/>
    </row>
    <row r="97" spans="2:9" x14ac:dyDescent="0.3">
      <c r="B97" s="64">
        <v>45975</v>
      </c>
      <c r="C97">
        <v>408.15</v>
      </c>
      <c r="D97">
        <v>64.020257999999998</v>
      </c>
      <c r="F97" s="33"/>
      <c r="G97" s="30"/>
      <c r="I97" s="32"/>
    </row>
    <row r="98" spans="2:9" x14ac:dyDescent="0.3">
      <c r="B98" s="64">
        <v>45974</v>
      </c>
      <c r="C98">
        <v>405.7</v>
      </c>
      <c r="D98">
        <v>6.6171850000000001</v>
      </c>
      <c r="F98" s="33"/>
      <c r="G98" s="30"/>
      <c r="I98" s="32"/>
    </row>
    <row r="99" spans="2:9" x14ac:dyDescent="0.3">
      <c r="B99" s="64">
        <v>45973</v>
      </c>
      <c r="C99">
        <v>407</v>
      </c>
      <c r="D99">
        <v>7.9872360000000002</v>
      </c>
      <c r="F99" s="33"/>
      <c r="G99" s="30"/>
      <c r="I99" s="32"/>
    </row>
    <row r="100" spans="2:9" x14ac:dyDescent="0.3">
      <c r="B100" s="64">
        <v>45972</v>
      </c>
      <c r="C100">
        <v>406.85</v>
      </c>
      <c r="D100">
        <v>12.005318000000001</v>
      </c>
      <c r="F100" s="33"/>
      <c r="G100" s="30"/>
      <c r="I100" s="32"/>
    </row>
    <row r="101" spans="2:9" x14ac:dyDescent="0.3">
      <c r="B101" s="64">
        <v>45971</v>
      </c>
      <c r="C101">
        <v>405.55</v>
      </c>
      <c r="D101">
        <v>6.6500029999999999</v>
      </c>
      <c r="F101" s="33"/>
      <c r="G101" s="30"/>
      <c r="I101" s="32"/>
    </row>
    <row r="102" spans="2:9" x14ac:dyDescent="0.3">
      <c r="B102" s="64">
        <v>45968</v>
      </c>
      <c r="C102">
        <v>404.05</v>
      </c>
      <c r="D102">
        <v>8.4116110000000006</v>
      </c>
      <c r="F102" s="33"/>
      <c r="G102" s="30"/>
      <c r="I102" s="32"/>
    </row>
    <row r="103" spans="2:9" x14ac:dyDescent="0.3">
      <c r="B103" s="64">
        <v>45967</v>
      </c>
      <c r="C103">
        <v>407.5</v>
      </c>
      <c r="D103">
        <v>10.095563</v>
      </c>
      <c r="F103" s="33"/>
      <c r="G103" s="30"/>
      <c r="I103" s="32"/>
    </row>
    <row r="104" spans="2:9" x14ac:dyDescent="0.3">
      <c r="B104" s="64">
        <v>45965</v>
      </c>
      <c r="C104">
        <v>408.9</v>
      </c>
      <c r="D104">
        <v>10.085404</v>
      </c>
      <c r="F104" s="33"/>
      <c r="G104" s="30"/>
      <c r="I104" s="32"/>
    </row>
    <row r="105" spans="2:9" x14ac:dyDescent="0.3">
      <c r="B105" s="64">
        <v>45964</v>
      </c>
      <c r="C105">
        <v>413.95</v>
      </c>
      <c r="D105">
        <v>7.63544</v>
      </c>
      <c r="F105" s="33"/>
      <c r="G105" s="30"/>
      <c r="I105" s="32"/>
    </row>
    <row r="106" spans="2:9" x14ac:dyDescent="0.3">
      <c r="B106" s="64">
        <v>45961</v>
      </c>
      <c r="C106">
        <v>420.35</v>
      </c>
      <c r="D106">
        <v>18.599864</v>
      </c>
      <c r="F106" s="33"/>
      <c r="G106" s="30"/>
      <c r="I106" s="32"/>
    </row>
    <row r="107" spans="2:9" x14ac:dyDescent="0.3">
      <c r="B107" s="64">
        <v>45960</v>
      </c>
      <c r="C107">
        <v>418.75</v>
      </c>
      <c r="D107">
        <v>12.938674000000001</v>
      </c>
      <c r="F107" s="33"/>
      <c r="G107" s="30"/>
      <c r="I107" s="32"/>
    </row>
    <row r="108" spans="2:9" x14ac:dyDescent="0.3">
      <c r="B108" s="64">
        <v>45959</v>
      </c>
      <c r="C108">
        <v>421.6</v>
      </c>
      <c r="D108">
        <v>11.470661</v>
      </c>
      <c r="F108" s="33"/>
      <c r="G108" s="30"/>
      <c r="I108" s="32"/>
    </row>
    <row r="109" spans="2:9" x14ac:dyDescent="0.3">
      <c r="B109" s="64">
        <v>45958</v>
      </c>
      <c r="C109">
        <v>417.9</v>
      </c>
      <c r="D109">
        <v>17.163146999999999</v>
      </c>
      <c r="F109" s="33"/>
      <c r="G109" s="30"/>
      <c r="I109" s="32"/>
    </row>
    <row r="110" spans="2:9" x14ac:dyDescent="0.3">
      <c r="B110" s="64">
        <v>45957</v>
      </c>
      <c r="C110">
        <v>420.65</v>
      </c>
      <c r="D110">
        <v>11.603679</v>
      </c>
      <c r="F110" s="33"/>
      <c r="G110" s="30"/>
      <c r="I110" s="32"/>
    </row>
    <row r="111" spans="2:9" x14ac:dyDescent="0.3">
      <c r="B111" s="64">
        <v>45954</v>
      </c>
      <c r="C111">
        <v>416.8</v>
      </c>
      <c r="D111">
        <v>14.935677999999999</v>
      </c>
      <c r="F111" s="33"/>
      <c r="G111" s="30"/>
      <c r="I111" s="32"/>
    </row>
    <row r="112" spans="2:9" x14ac:dyDescent="0.3">
      <c r="B112" s="64">
        <v>45953</v>
      </c>
      <c r="C112">
        <v>415.95</v>
      </c>
      <c r="D112">
        <v>24.305990000000001</v>
      </c>
      <c r="F112" s="33"/>
      <c r="G112" s="30"/>
      <c r="I112" s="32"/>
    </row>
    <row r="113" spans="2:9" x14ac:dyDescent="0.3">
      <c r="B113" s="64">
        <v>45951</v>
      </c>
      <c r="C113">
        <v>412.85</v>
      </c>
      <c r="D113">
        <v>1.1421300000000001</v>
      </c>
      <c r="F113" s="33"/>
      <c r="G113" s="30"/>
      <c r="I113" s="32"/>
    </row>
    <row r="114" spans="2:9" x14ac:dyDescent="0.3">
      <c r="B114" s="64">
        <v>45950</v>
      </c>
      <c r="C114">
        <v>413.05</v>
      </c>
      <c r="D114">
        <v>13.083621000000001</v>
      </c>
      <c r="F114" s="33"/>
      <c r="G114" s="30"/>
      <c r="I114" s="32"/>
    </row>
    <row r="115" spans="2:9" x14ac:dyDescent="0.3">
      <c r="B115" s="64">
        <v>45947</v>
      </c>
      <c r="C115">
        <v>412.15</v>
      </c>
      <c r="D115">
        <v>21.071344</v>
      </c>
      <c r="F115" s="33"/>
      <c r="G115" s="30"/>
      <c r="I115" s="32"/>
    </row>
    <row r="116" spans="2:9" x14ac:dyDescent="0.3">
      <c r="B116" s="64">
        <v>45946</v>
      </c>
      <c r="C116">
        <v>405.15</v>
      </c>
      <c r="D116">
        <v>22.962049</v>
      </c>
      <c r="F116" s="33"/>
      <c r="G116" s="30"/>
      <c r="I116" s="32"/>
    </row>
    <row r="117" spans="2:9" x14ac:dyDescent="0.3">
      <c r="B117" s="64">
        <v>45945</v>
      </c>
      <c r="C117">
        <v>399.9</v>
      </c>
      <c r="D117">
        <v>16.043866999999999</v>
      </c>
      <c r="F117" s="33"/>
      <c r="G117" s="30"/>
      <c r="I117" s="32"/>
    </row>
    <row r="118" spans="2:9" x14ac:dyDescent="0.3">
      <c r="B118" s="64">
        <v>45944</v>
      </c>
      <c r="C118">
        <v>396.8</v>
      </c>
      <c r="D118">
        <v>10.291102</v>
      </c>
      <c r="F118" s="33"/>
      <c r="G118" s="30"/>
      <c r="I118" s="32"/>
    </row>
    <row r="119" spans="2:9" x14ac:dyDescent="0.3">
      <c r="B119" s="64">
        <v>45943</v>
      </c>
      <c r="C119">
        <v>399.25</v>
      </c>
      <c r="D119">
        <v>9.5085940000000004</v>
      </c>
      <c r="F119" s="33"/>
      <c r="G119" s="30"/>
      <c r="I119" s="32"/>
    </row>
    <row r="120" spans="2:9" x14ac:dyDescent="0.3">
      <c r="B120" s="64">
        <v>45940</v>
      </c>
      <c r="C120">
        <v>402.8</v>
      </c>
      <c r="D120">
        <v>15.085737999999999</v>
      </c>
      <c r="F120" s="33"/>
      <c r="G120" s="30"/>
      <c r="I120" s="32"/>
    </row>
    <row r="121" spans="2:9" x14ac:dyDescent="0.3">
      <c r="B121" s="64">
        <v>45939</v>
      </c>
      <c r="C121">
        <v>399.9</v>
      </c>
      <c r="D121">
        <v>15.656267</v>
      </c>
      <c r="F121" s="33"/>
      <c r="G121" s="30"/>
      <c r="I121" s="32"/>
    </row>
    <row r="122" spans="2:9" x14ac:dyDescent="0.3">
      <c r="B122" s="64">
        <v>45938</v>
      </c>
      <c r="C122">
        <v>399.75</v>
      </c>
      <c r="D122">
        <v>8.4024629999999991</v>
      </c>
      <c r="F122" s="33"/>
      <c r="G122" s="30"/>
      <c r="I122" s="32"/>
    </row>
    <row r="123" spans="2:9" x14ac:dyDescent="0.3">
      <c r="B123" s="64">
        <v>45937</v>
      </c>
      <c r="C123">
        <v>399.8</v>
      </c>
      <c r="D123">
        <v>12.298968</v>
      </c>
      <c r="F123" s="33"/>
      <c r="G123" s="30"/>
      <c r="I123" s="32"/>
    </row>
    <row r="124" spans="2:9" x14ac:dyDescent="0.3">
      <c r="B124" s="64">
        <v>45936</v>
      </c>
      <c r="C124">
        <v>400.75</v>
      </c>
      <c r="D124">
        <v>13.989077</v>
      </c>
      <c r="F124" s="33"/>
      <c r="G124" s="30"/>
      <c r="I124" s="32"/>
    </row>
    <row r="125" spans="2:9" x14ac:dyDescent="0.3">
      <c r="B125" s="64">
        <v>45933</v>
      </c>
      <c r="C125">
        <v>404.3</v>
      </c>
      <c r="D125">
        <v>16.987141000000001</v>
      </c>
      <c r="F125" s="33"/>
      <c r="G125" s="30"/>
      <c r="I125" s="32"/>
    </row>
    <row r="126" spans="2:9" x14ac:dyDescent="0.3">
      <c r="B126" s="64">
        <v>45931</v>
      </c>
      <c r="C126">
        <v>405.6</v>
      </c>
      <c r="D126">
        <v>17.643039000000002</v>
      </c>
      <c r="F126" s="33"/>
      <c r="G126" s="30"/>
      <c r="I126" s="32"/>
    </row>
    <row r="127" spans="2:9" x14ac:dyDescent="0.3">
      <c r="B127" s="64">
        <v>45930</v>
      </c>
      <c r="C127">
        <v>401.55</v>
      </c>
      <c r="D127">
        <v>9.4654900000000008</v>
      </c>
      <c r="F127" s="33"/>
      <c r="G127" s="30"/>
      <c r="I127" s="32"/>
    </row>
    <row r="128" spans="2:9" x14ac:dyDescent="0.3">
      <c r="B128" s="64">
        <v>45929</v>
      </c>
      <c r="C128">
        <v>407.25</v>
      </c>
      <c r="D128">
        <v>19.717659999999999</v>
      </c>
      <c r="F128" s="33"/>
      <c r="G128" s="30"/>
      <c r="I128" s="32"/>
    </row>
    <row r="129" spans="2:9" x14ac:dyDescent="0.3">
      <c r="B129" s="64">
        <v>45926</v>
      </c>
      <c r="C129">
        <v>405.1</v>
      </c>
      <c r="D129">
        <v>14.414044000000001</v>
      </c>
      <c r="F129" s="33"/>
      <c r="G129" s="30"/>
      <c r="I129" s="32"/>
    </row>
    <row r="130" spans="2:9" x14ac:dyDescent="0.3">
      <c r="B130" s="64">
        <v>45925</v>
      </c>
      <c r="C130">
        <v>400.1</v>
      </c>
      <c r="D130">
        <v>22.006367999999998</v>
      </c>
      <c r="F130" s="33"/>
      <c r="G130" s="30"/>
      <c r="I130" s="32"/>
    </row>
    <row r="131" spans="2:9" x14ac:dyDescent="0.3">
      <c r="B131" s="64">
        <v>45924</v>
      </c>
      <c r="C131">
        <v>401</v>
      </c>
      <c r="D131">
        <v>12.380865</v>
      </c>
      <c r="F131" s="33"/>
      <c r="G131" s="30"/>
      <c r="I131" s="32"/>
    </row>
    <row r="132" spans="2:9" x14ac:dyDescent="0.3">
      <c r="B132" s="64">
        <v>45923</v>
      </c>
      <c r="C132">
        <v>403.2</v>
      </c>
      <c r="D132">
        <v>14.936356999999999</v>
      </c>
      <c r="F132" s="33"/>
      <c r="G132" s="30"/>
      <c r="I132" s="32"/>
    </row>
    <row r="133" spans="2:9" x14ac:dyDescent="0.3">
      <c r="B133" s="64">
        <v>45922</v>
      </c>
      <c r="C133">
        <v>406.95</v>
      </c>
      <c r="D133">
        <v>8.9307789999999994</v>
      </c>
      <c r="F133" s="33"/>
      <c r="G133" s="30"/>
      <c r="I133" s="32"/>
    </row>
    <row r="134" spans="2:9" x14ac:dyDescent="0.3">
      <c r="B134" s="64">
        <v>45919</v>
      </c>
      <c r="C134">
        <v>410.65</v>
      </c>
      <c r="D134">
        <v>19.505320999999999</v>
      </c>
      <c r="F134" s="33"/>
      <c r="G134" s="30"/>
      <c r="I134" s="32"/>
    </row>
    <row r="135" spans="2:9" x14ac:dyDescent="0.3">
      <c r="B135" s="64">
        <v>45918</v>
      </c>
      <c r="C135">
        <v>409.3</v>
      </c>
      <c r="D135">
        <v>0.64511099999999999</v>
      </c>
      <c r="F135" s="33"/>
      <c r="G135" s="30"/>
      <c r="I135" s="32"/>
    </row>
    <row r="136" spans="2:9" x14ac:dyDescent="0.3">
      <c r="B136" s="64">
        <v>45918</v>
      </c>
      <c r="C136">
        <v>411.55</v>
      </c>
      <c r="D136">
        <v>15.647807999999999</v>
      </c>
      <c r="F136" s="33"/>
      <c r="G136" s="30"/>
      <c r="I136" s="32"/>
    </row>
    <row r="137" spans="2:9" x14ac:dyDescent="0.3">
      <c r="B137" s="64">
        <v>45917</v>
      </c>
      <c r="C137">
        <v>409.3</v>
      </c>
      <c r="D137">
        <v>14.113882</v>
      </c>
      <c r="F137" s="33"/>
      <c r="G137" s="30"/>
      <c r="I137" s="32"/>
    </row>
    <row r="138" spans="2:9" x14ac:dyDescent="0.3">
      <c r="B138" s="64">
        <v>45916</v>
      </c>
      <c r="C138">
        <v>413.1</v>
      </c>
      <c r="D138">
        <v>8.2390869999999996</v>
      </c>
      <c r="F138" s="33"/>
      <c r="G138" s="30"/>
      <c r="I138" s="32"/>
    </row>
    <row r="139" spans="2:9" x14ac:dyDescent="0.3">
      <c r="B139" s="64">
        <v>45916</v>
      </c>
      <c r="C139">
        <v>412.65</v>
      </c>
      <c r="D139">
        <v>0.59093300000000004</v>
      </c>
      <c r="F139" s="33"/>
      <c r="G139" s="30"/>
      <c r="I139" s="32"/>
    </row>
    <row r="140" spans="2:9" x14ac:dyDescent="0.3">
      <c r="B140" s="64">
        <v>45915</v>
      </c>
      <c r="C140">
        <v>412.65</v>
      </c>
      <c r="D140">
        <v>5.7073309999999999</v>
      </c>
      <c r="F140" s="33"/>
      <c r="G140" s="30"/>
      <c r="I140" s="32"/>
    </row>
    <row r="141" spans="2:9" x14ac:dyDescent="0.3">
      <c r="B141" s="64">
        <v>45912</v>
      </c>
      <c r="C141">
        <v>413.75</v>
      </c>
      <c r="D141">
        <v>7.8033789999999996</v>
      </c>
      <c r="F141" s="33"/>
      <c r="G141" s="30"/>
      <c r="I141" s="32"/>
    </row>
    <row r="142" spans="2:9" x14ac:dyDescent="0.3">
      <c r="B142" s="64">
        <v>45911</v>
      </c>
      <c r="C142">
        <v>415.05</v>
      </c>
      <c r="D142">
        <v>8.2744060000000008</v>
      </c>
      <c r="F142" s="33"/>
      <c r="G142" s="30"/>
      <c r="I142" s="32"/>
    </row>
    <row r="143" spans="2:9" x14ac:dyDescent="0.3">
      <c r="B143" s="64">
        <v>45910</v>
      </c>
      <c r="C143">
        <v>413.05</v>
      </c>
      <c r="D143">
        <v>9.2523970000000002</v>
      </c>
      <c r="F143" s="33"/>
      <c r="G143" s="30"/>
      <c r="I143" s="32"/>
    </row>
    <row r="144" spans="2:9" x14ac:dyDescent="0.3">
      <c r="B144" s="64">
        <v>45909</v>
      </c>
      <c r="C144">
        <v>410.05</v>
      </c>
      <c r="D144">
        <v>8.8258960000000002</v>
      </c>
      <c r="F144" s="33"/>
      <c r="G144" s="30"/>
      <c r="I144" s="32"/>
    </row>
    <row r="145" spans="2:9" x14ac:dyDescent="0.3">
      <c r="B145" s="64">
        <v>45908</v>
      </c>
      <c r="C145">
        <v>407.55</v>
      </c>
      <c r="D145">
        <v>7.419022</v>
      </c>
      <c r="F145" s="33"/>
      <c r="G145" s="30"/>
      <c r="I145" s="32"/>
    </row>
    <row r="146" spans="2:9" x14ac:dyDescent="0.3">
      <c r="B146" s="64">
        <v>45905</v>
      </c>
      <c r="C146">
        <v>407.35</v>
      </c>
      <c r="D146">
        <v>16.000675000000001</v>
      </c>
      <c r="F146" s="33"/>
      <c r="G146" s="30"/>
      <c r="I146" s="32"/>
    </row>
    <row r="147" spans="2:9" x14ac:dyDescent="0.3">
      <c r="B147" s="64">
        <v>45904</v>
      </c>
      <c r="C147">
        <v>415.9</v>
      </c>
      <c r="D147">
        <v>27.274122999999999</v>
      </c>
      <c r="F147" s="33"/>
      <c r="G147" s="30"/>
      <c r="I147" s="32"/>
    </row>
    <row r="148" spans="2:9" x14ac:dyDescent="0.3">
      <c r="B148" s="64">
        <v>45903</v>
      </c>
      <c r="C148">
        <v>411.75</v>
      </c>
      <c r="D148">
        <v>12.936588</v>
      </c>
      <c r="F148" s="33"/>
      <c r="G148" s="30"/>
      <c r="I148" s="32"/>
    </row>
    <row r="149" spans="2:9" x14ac:dyDescent="0.3">
      <c r="B149" s="64">
        <v>45902</v>
      </c>
      <c r="C149">
        <v>406.75</v>
      </c>
      <c r="D149">
        <v>19.808254999999999</v>
      </c>
      <c r="F149" s="33"/>
      <c r="G149" s="30"/>
      <c r="I149" s="32"/>
    </row>
    <row r="150" spans="2:9" x14ac:dyDescent="0.3">
      <c r="B150" s="64">
        <v>45901</v>
      </c>
      <c r="C150">
        <v>405.85</v>
      </c>
      <c r="D150">
        <v>12.268090000000001</v>
      </c>
      <c r="F150" s="33"/>
      <c r="G150" s="30"/>
      <c r="I150" s="32"/>
    </row>
    <row r="151" spans="2:9" x14ac:dyDescent="0.3">
      <c r="B151" s="64">
        <v>45898</v>
      </c>
      <c r="C151">
        <v>409.75</v>
      </c>
      <c r="D151">
        <v>25.255050000000001</v>
      </c>
      <c r="F151" s="33"/>
      <c r="G151" s="30"/>
      <c r="I151" s="32"/>
    </row>
    <row r="152" spans="2:9" x14ac:dyDescent="0.3">
      <c r="B152" s="64">
        <v>45897</v>
      </c>
      <c r="C152">
        <v>400.9</v>
      </c>
      <c r="D152">
        <v>12.471719</v>
      </c>
      <c r="F152" s="33"/>
      <c r="G152" s="30"/>
      <c r="I152" s="32"/>
    </row>
    <row r="153" spans="2:9" x14ac:dyDescent="0.3">
      <c r="B153" s="64">
        <v>45895</v>
      </c>
      <c r="C153">
        <v>403.35</v>
      </c>
      <c r="D153">
        <v>13.715752</v>
      </c>
      <c r="F153" s="33"/>
      <c r="G153" s="30"/>
      <c r="I153" s="32"/>
    </row>
    <row r="154" spans="2:9" x14ac:dyDescent="0.3">
      <c r="B154" s="64">
        <v>45894</v>
      </c>
      <c r="C154">
        <v>399.35</v>
      </c>
      <c r="D154">
        <v>10.440286</v>
      </c>
      <c r="F154" s="33"/>
      <c r="G154" s="30"/>
      <c r="I154" s="32"/>
    </row>
    <row r="155" spans="2:9" x14ac:dyDescent="0.3">
      <c r="B155" s="64">
        <v>45891</v>
      </c>
      <c r="C155">
        <v>398.3</v>
      </c>
      <c r="D155">
        <v>13.087624</v>
      </c>
      <c r="F155" s="33"/>
      <c r="G155" s="30"/>
      <c r="I155" s="32"/>
    </row>
    <row r="156" spans="2:9" x14ac:dyDescent="0.3">
      <c r="B156" s="64">
        <v>45890</v>
      </c>
      <c r="C156">
        <v>405.55</v>
      </c>
      <c r="D156">
        <v>15.028966</v>
      </c>
      <c r="F156" s="33"/>
      <c r="G156" s="30"/>
      <c r="I156" s="32"/>
    </row>
    <row r="157" spans="2:9" x14ac:dyDescent="0.3">
      <c r="B157" s="64">
        <v>45889</v>
      </c>
      <c r="C157">
        <v>406.05</v>
      </c>
      <c r="D157">
        <v>18.188129</v>
      </c>
      <c r="F157" s="33"/>
      <c r="G157" s="30"/>
      <c r="I157" s="32"/>
    </row>
    <row r="158" spans="2:9" x14ac:dyDescent="0.3">
      <c r="B158" s="64">
        <v>45888</v>
      </c>
      <c r="C158">
        <v>409.1</v>
      </c>
      <c r="D158">
        <v>16.681331</v>
      </c>
      <c r="F158" s="33"/>
      <c r="G158" s="30"/>
      <c r="I158" s="32"/>
    </row>
    <row r="159" spans="2:9" x14ac:dyDescent="0.3">
      <c r="B159" s="64">
        <v>45887</v>
      </c>
      <c r="C159">
        <v>406.3</v>
      </c>
      <c r="D159">
        <v>30.950814000000001</v>
      </c>
      <c r="F159" s="33"/>
      <c r="G159" s="30"/>
      <c r="I159" s="32"/>
    </row>
    <row r="160" spans="2:9" x14ac:dyDescent="0.3">
      <c r="B160" s="64">
        <v>45883</v>
      </c>
      <c r="C160">
        <v>411.45</v>
      </c>
      <c r="D160">
        <v>9.5803609999999999</v>
      </c>
      <c r="F160" s="33"/>
      <c r="G160" s="30"/>
      <c r="I160" s="32"/>
    </row>
    <row r="161" spans="2:9" x14ac:dyDescent="0.3">
      <c r="B161" s="64">
        <v>45882</v>
      </c>
      <c r="C161">
        <v>414.1</v>
      </c>
      <c r="D161">
        <v>10.87491</v>
      </c>
      <c r="F161" s="33"/>
      <c r="G161" s="30"/>
      <c r="I161" s="32"/>
    </row>
    <row r="162" spans="2:9" x14ac:dyDescent="0.3">
      <c r="B162" s="64">
        <v>45881</v>
      </c>
      <c r="C162">
        <v>416.35</v>
      </c>
      <c r="D162">
        <v>13.635738</v>
      </c>
      <c r="F162" s="33"/>
      <c r="G162" s="30"/>
      <c r="I162" s="32"/>
    </row>
    <row r="163" spans="2:9" x14ac:dyDescent="0.3">
      <c r="B163" s="64">
        <v>45880</v>
      </c>
      <c r="C163">
        <v>416.85</v>
      </c>
      <c r="D163">
        <v>8.5142720000000001</v>
      </c>
      <c r="F163" s="33"/>
      <c r="G163" s="30"/>
      <c r="I163" s="32"/>
    </row>
    <row r="164" spans="2:9" x14ac:dyDescent="0.3">
      <c r="B164" s="64">
        <v>45877</v>
      </c>
      <c r="C164">
        <v>414.5</v>
      </c>
      <c r="D164">
        <v>9.8143609999999999</v>
      </c>
      <c r="F164" s="33"/>
      <c r="G164" s="30"/>
      <c r="I164" s="32"/>
    </row>
    <row r="165" spans="2:9" x14ac:dyDescent="0.3">
      <c r="B165" s="64">
        <v>45876</v>
      </c>
      <c r="C165">
        <v>413.6</v>
      </c>
      <c r="D165">
        <v>11.514878</v>
      </c>
      <c r="F165" s="33"/>
      <c r="G165" s="30"/>
      <c r="I165" s="32"/>
    </row>
    <row r="166" spans="2:9" x14ac:dyDescent="0.3">
      <c r="B166" s="64">
        <v>45875</v>
      </c>
      <c r="C166">
        <v>412</v>
      </c>
      <c r="D166">
        <v>9.0805430000000005</v>
      </c>
      <c r="F166" s="33"/>
      <c r="G166" s="30"/>
      <c r="I166" s="32"/>
    </row>
    <row r="167" spans="2:9" x14ac:dyDescent="0.3">
      <c r="B167" s="64">
        <v>45874</v>
      </c>
      <c r="C167">
        <v>414.15</v>
      </c>
      <c r="D167">
        <v>8.4951039999999995</v>
      </c>
      <c r="F167" s="33"/>
      <c r="G167" s="30"/>
      <c r="I167" s="32"/>
    </row>
    <row r="168" spans="2:9" x14ac:dyDescent="0.3">
      <c r="B168" s="64">
        <v>45873</v>
      </c>
      <c r="C168">
        <v>416.85</v>
      </c>
      <c r="D168">
        <v>18.352457999999999</v>
      </c>
      <c r="F168" s="33"/>
      <c r="G168" s="30"/>
      <c r="I168" s="32"/>
    </row>
    <row r="169" spans="2:9" x14ac:dyDescent="0.3">
      <c r="B169" s="64">
        <v>45870</v>
      </c>
      <c r="C169">
        <v>416.45</v>
      </c>
      <c r="D169">
        <v>14.324064999999999</v>
      </c>
      <c r="F169" s="33"/>
      <c r="G169" s="30"/>
      <c r="I169" s="32"/>
    </row>
    <row r="170" spans="2:9" x14ac:dyDescent="0.3">
      <c r="B170" s="64">
        <v>45869</v>
      </c>
      <c r="C170">
        <v>411.95</v>
      </c>
      <c r="D170">
        <v>19.364173999999998</v>
      </c>
      <c r="F170" s="33"/>
      <c r="G170" s="30"/>
      <c r="I170" s="32"/>
    </row>
    <row r="171" spans="2:9" x14ac:dyDescent="0.3">
      <c r="B171" s="64">
        <v>45868</v>
      </c>
      <c r="C171">
        <v>407.6</v>
      </c>
      <c r="D171">
        <v>10.915863</v>
      </c>
      <c r="F171" s="33"/>
      <c r="G171" s="30"/>
      <c r="I171" s="32"/>
    </row>
    <row r="172" spans="2:9" x14ac:dyDescent="0.3">
      <c r="B172" s="64">
        <v>45867</v>
      </c>
      <c r="C172">
        <v>408.45</v>
      </c>
      <c r="D172">
        <v>6.8117720000000004</v>
      </c>
      <c r="F172" s="33"/>
      <c r="G172" s="30"/>
      <c r="I172" s="32"/>
    </row>
    <row r="173" spans="2:9" x14ac:dyDescent="0.3">
      <c r="B173" s="64">
        <v>45866</v>
      </c>
      <c r="C173">
        <v>409.9</v>
      </c>
      <c r="D173">
        <v>8.1233369999999994</v>
      </c>
      <c r="F173" s="33"/>
      <c r="G173" s="30"/>
      <c r="I173" s="32"/>
    </row>
    <row r="174" spans="2:9" x14ac:dyDescent="0.3">
      <c r="B174" s="64">
        <v>45863</v>
      </c>
      <c r="C174">
        <v>409.4</v>
      </c>
      <c r="D174">
        <v>5.8240889999999998</v>
      </c>
      <c r="F174" s="33"/>
      <c r="G174" s="30"/>
      <c r="I174" s="32"/>
    </row>
    <row r="175" spans="2:9" x14ac:dyDescent="0.3">
      <c r="B175" s="64">
        <v>45862</v>
      </c>
      <c r="C175">
        <v>409.95</v>
      </c>
      <c r="D175">
        <v>9.0051570000000005</v>
      </c>
      <c r="F175" s="33"/>
      <c r="G175" s="30"/>
      <c r="I175" s="32"/>
    </row>
    <row r="176" spans="2:9" x14ac:dyDescent="0.3">
      <c r="B176" s="64">
        <v>45861</v>
      </c>
      <c r="C176">
        <v>414.95</v>
      </c>
      <c r="D176">
        <v>12.196187</v>
      </c>
      <c r="F176" s="33"/>
      <c r="G176" s="30"/>
      <c r="I176" s="32"/>
    </row>
    <row r="177" spans="2:9" x14ac:dyDescent="0.3">
      <c r="B177" s="64">
        <v>45860</v>
      </c>
      <c r="C177">
        <v>416</v>
      </c>
      <c r="D177">
        <v>9.8695070000000005</v>
      </c>
      <c r="F177" s="33"/>
      <c r="G177" s="30"/>
      <c r="I177" s="32"/>
    </row>
    <row r="178" spans="2:9" x14ac:dyDescent="0.3">
      <c r="B178" s="64">
        <v>45859</v>
      </c>
      <c r="C178">
        <v>420.1</v>
      </c>
      <c r="D178">
        <v>4.822343</v>
      </c>
      <c r="F178" s="33"/>
      <c r="G178" s="30"/>
      <c r="I178" s="32"/>
    </row>
    <row r="179" spans="2:9" x14ac:dyDescent="0.3">
      <c r="B179" s="64">
        <v>45856</v>
      </c>
      <c r="C179">
        <v>422.75</v>
      </c>
      <c r="D179">
        <v>6.7302559999999998</v>
      </c>
      <c r="F179" s="33"/>
      <c r="G179" s="30"/>
      <c r="I179" s="32"/>
    </row>
    <row r="180" spans="2:9" x14ac:dyDescent="0.3">
      <c r="B180" s="64">
        <v>45855</v>
      </c>
      <c r="C180">
        <v>423.95</v>
      </c>
      <c r="D180">
        <v>7.2407950000000003</v>
      </c>
      <c r="F180" s="33"/>
      <c r="G180" s="30"/>
      <c r="I180" s="32"/>
    </row>
    <row r="181" spans="2:9" x14ac:dyDescent="0.3">
      <c r="B181" s="64">
        <v>45854</v>
      </c>
      <c r="C181">
        <v>424.6</v>
      </c>
      <c r="D181">
        <v>9.7807729999999999</v>
      </c>
      <c r="F181" s="33"/>
      <c r="G181" s="30"/>
      <c r="I181" s="32"/>
    </row>
    <row r="182" spans="2:9" x14ac:dyDescent="0.3">
      <c r="B182" s="64">
        <v>45853</v>
      </c>
      <c r="C182">
        <v>422.1</v>
      </c>
      <c r="D182">
        <v>8.5327549999999999</v>
      </c>
      <c r="F182" s="33"/>
      <c r="G182" s="30"/>
      <c r="I182" s="32"/>
    </row>
    <row r="183" spans="2:9" x14ac:dyDescent="0.3">
      <c r="B183" s="64">
        <v>45852</v>
      </c>
      <c r="C183">
        <v>419.4</v>
      </c>
      <c r="D183">
        <v>6.8969889999999996</v>
      </c>
      <c r="F183" s="33"/>
      <c r="G183" s="30"/>
      <c r="I183" s="32"/>
    </row>
    <row r="184" spans="2:9" x14ac:dyDescent="0.3">
      <c r="B184" s="64">
        <v>45849</v>
      </c>
      <c r="C184">
        <v>416.8</v>
      </c>
      <c r="D184">
        <v>8.5788440000000001</v>
      </c>
      <c r="F184" s="33"/>
      <c r="G184" s="30"/>
      <c r="I184" s="32"/>
    </row>
    <row r="185" spans="2:9" x14ac:dyDescent="0.3">
      <c r="B185" s="64">
        <v>45848</v>
      </c>
      <c r="C185">
        <v>416.85</v>
      </c>
      <c r="D185">
        <v>6.2203600000000003</v>
      </c>
      <c r="F185" s="33"/>
      <c r="G185" s="30"/>
      <c r="I185" s="32"/>
    </row>
    <row r="186" spans="2:9" x14ac:dyDescent="0.3">
      <c r="B186" s="64">
        <v>45847</v>
      </c>
      <c r="C186">
        <v>419.45</v>
      </c>
      <c r="D186">
        <v>9.9305330000000005</v>
      </c>
      <c r="F186" s="33"/>
      <c r="G186" s="30"/>
      <c r="I186" s="32"/>
    </row>
    <row r="187" spans="2:9" x14ac:dyDescent="0.3">
      <c r="B187" s="64">
        <v>45846</v>
      </c>
      <c r="C187">
        <v>417.2</v>
      </c>
      <c r="D187">
        <v>6.8071919999999997</v>
      </c>
      <c r="F187" s="33"/>
      <c r="G187" s="30"/>
      <c r="I187" s="32"/>
    </row>
    <row r="188" spans="2:9" x14ac:dyDescent="0.3">
      <c r="B188" s="64">
        <v>45845</v>
      </c>
      <c r="C188">
        <v>416.15</v>
      </c>
      <c r="D188">
        <v>6.845218</v>
      </c>
      <c r="F188" s="33"/>
      <c r="G188" s="30"/>
      <c r="I188" s="32"/>
    </row>
    <row r="189" spans="2:9" x14ac:dyDescent="0.3">
      <c r="B189" s="64">
        <v>45842</v>
      </c>
      <c r="C189">
        <v>412.55</v>
      </c>
      <c r="D189">
        <v>8.2567330000000005</v>
      </c>
      <c r="F189" s="33"/>
      <c r="G189" s="30"/>
      <c r="I189" s="32"/>
    </row>
    <row r="190" spans="2:9" x14ac:dyDescent="0.3">
      <c r="B190" s="64">
        <v>45841</v>
      </c>
      <c r="C190">
        <v>413.35</v>
      </c>
      <c r="D190">
        <v>14.185298</v>
      </c>
      <c r="F190" s="33"/>
      <c r="G190" s="30"/>
      <c r="I190" s="32"/>
    </row>
    <row r="191" spans="2:9" x14ac:dyDescent="0.3">
      <c r="B191" s="64">
        <v>45840</v>
      </c>
      <c r="C191">
        <v>412.95</v>
      </c>
      <c r="D191">
        <v>15.990899000000001</v>
      </c>
      <c r="F191" s="33"/>
      <c r="G191" s="30"/>
      <c r="I191" s="32"/>
    </row>
    <row r="192" spans="2:9" x14ac:dyDescent="0.3">
      <c r="B192" s="64">
        <v>45839</v>
      </c>
      <c r="C192">
        <v>415.1</v>
      </c>
      <c r="D192">
        <v>13.670465</v>
      </c>
      <c r="F192" s="33"/>
      <c r="G192" s="30"/>
      <c r="I192" s="32"/>
    </row>
    <row r="193" spans="2:9" x14ac:dyDescent="0.3">
      <c r="B193" s="64">
        <v>45838</v>
      </c>
      <c r="C193">
        <v>416.45</v>
      </c>
      <c r="D193">
        <v>12.317124</v>
      </c>
      <c r="F193" s="33"/>
      <c r="G193" s="30"/>
      <c r="I193" s="32"/>
    </row>
    <row r="194" spans="2:9" x14ac:dyDescent="0.3">
      <c r="B194" s="64">
        <v>45835</v>
      </c>
      <c r="C194">
        <v>418.65</v>
      </c>
      <c r="D194">
        <v>21.409935000000001</v>
      </c>
      <c r="F194" s="33"/>
      <c r="G194" s="30"/>
      <c r="I194" s="32"/>
    </row>
    <row r="195" spans="2:9" x14ac:dyDescent="0.3">
      <c r="B195" s="64">
        <v>45834</v>
      </c>
      <c r="C195">
        <v>420.3</v>
      </c>
      <c r="D195">
        <v>13.703918</v>
      </c>
      <c r="F195" s="33"/>
      <c r="G195" s="30"/>
      <c r="I195" s="32"/>
    </row>
    <row r="196" spans="2:9" x14ac:dyDescent="0.3">
      <c r="B196" s="64">
        <v>45833</v>
      </c>
      <c r="C196">
        <v>416.35</v>
      </c>
      <c r="D196">
        <v>9.9467180000000006</v>
      </c>
      <c r="F196" s="33"/>
      <c r="G196" s="30"/>
      <c r="I196" s="32"/>
    </row>
    <row r="197" spans="2:9" x14ac:dyDescent="0.3">
      <c r="B197" s="64">
        <v>45832</v>
      </c>
      <c r="C197">
        <v>414.35</v>
      </c>
      <c r="D197">
        <v>16.690068</v>
      </c>
      <c r="F197" s="33"/>
      <c r="G197" s="30"/>
      <c r="I197" s="32"/>
    </row>
    <row r="198" spans="2:9" x14ac:dyDescent="0.3">
      <c r="B198" s="64">
        <v>45831</v>
      </c>
      <c r="C198">
        <v>413.9</v>
      </c>
      <c r="D198">
        <v>14.83989</v>
      </c>
      <c r="F198" s="33"/>
      <c r="G198" s="30"/>
      <c r="I198" s="32"/>
    </row>
    <row r="199" spans="2:9" x14ac:dyDescent="0.3">
      <c r="B199" s="64">
        <v>45828</v>
      </c>
      <c r="C199">
        <v>418.55</v>
      </c>
      <c r="D199">
        <v>13.203184</v>
      </c>
      <c r="F199" s="33"/>
      <c r="G199" s="30"/>
      <c r="I199" s="32"/>
    </row>
    <row r="200" spans="2:9" x14ac:dyDescent="0.3">
      <c r="B200" s="64">
        <v>45827</v>
      </c>
      <c r="C200">
        <v>416</v>
      </c>
      <c r="D200">
        <v>12.601006</v>
      </c>
      <c r="F200" s="33"/>
      <c r="G200" s="30"/>
      <c r="I200" s="32"/>
    </row>
    <row r="201" spans="2:9" x14ac:dyDescent="0.3">
      <c r="B201" s="64">
        <v>45826</v>
      </c>
      <c r="C201">
        <v>415.9</v>
      </c>
      <c r="D201">
        <v>8.0362150000000003</v>
      </c>
      <c r="F201" s="33"/>
      <c r="G201" s="30"/>
      <c r="I201" s="32"/>
    </row>
    <row r="202" spans="2:9" x14ac:dyDescent="0.3">
      <c r="B202" s="64">
        <v>45825</v>
      </c>
      <c r="C202">
        <v>417.4</v>
      </c>
      <c r="D202">
        <v>9.0284060000000004</v>
      </c>
      <c r="F202" s="33"/>
      <c r="G202" s="30"/>
      <c r="I202" s="32"/>
    </row>
    <row r="203" spans="2:9" x14ac:dyDescent="0.3">
      <c r="B203" s="64">
        <v>45824</v>
      </c>
      <c r="C203">
        <v>418.2</v>
      </c>
      <c r="D203">
        <v>7.0066290000000002</v>
      </c>
      <c r="F203" s="33"/>
      <c r="G203" s="30"/>
      <c r="I203" s="32"/>
    </row>
    <row r="204" spans="2:9" x14ac:dyDescent="0.3">
      <c r="B204" s="64">
        <v>45821</v>
      </c>
      <c r="C204">
        <v>413.9</v>
      </c>
      <c r="D204">
        <v>17.873926000000001</v>
      </c>
      <c r="F204" s="33"/>
      <c r="G204" s="30"/>
      <c r="I204" s="32"/>
    </row>
    <row r="205" spans="2:9" x14ac:dyDescent="0.3">
      <c r="B205" s="64">
        <v>45820</v>
      </c>
      <c r="C205">
        <v>421</v>
      </c>
      <c r="D205">
        <v>18.508835000000001</v>
      </c>
      <c r="F205" s="33"/>
      <c r="G205" s="30"/>
      <c r="I205" s="32"/>
    </row>
    <row r="206" spans="2:9" x14ac:dyDescent="0.3">
      <c r="B206" s="64">
        <v>45819</v>
      </c>
      <c r="C206">
        <v>426.15</v>
      </c>
      <c r="D206">
        <v>20.789182</v>
      </c>
      <c r="F206" s="33"/>
      <c r="G206" s="30"/>
      <c r="I206" s="32"/>
    </row>
    <row r="207" spans="2:9" x14ac:dyDescent="0.3">
      <c r="B207" s="64">
        <v>45818</v>
      </c>
      <c r="C207">
        <v>427</v>
      </c>
      <c r="D207">
        <v>13.041074999999999</v>
      </c>
      <c r="F207" s="33"/>
      <c r="G207" s="30"/>
      <c r="I207" s="32"/>
    </row>
    <row r="208" spans="2:9" x14ac:dyDescent="0.3">
      <c r="B208" s="64">
        <v>45817</v>
      </c>
      <c r="C208">
        <v>423.05</v>
      </c>
      <c r="D208">
        <v>10.473122999999999</v>
      </c>
      <c r="F208" s="33"/>
      <c r="G208" s="30"/>
      <c r="I208" s="32"/>
    </row>
    <row r="209" spans="2:9" x14ac:dyDescent="0.3">
      <c r="B209" s="64">
        <v>45814</v>
      </c>
      <c r="C209">
        <v>421.05</v>
      </c>
      <c r="D209">
        <v>8.7749880000000005</v>
      </c>
      <c r="F209" s="33"/>
      <c r="G209" s="30"/>
      <c r="I209" s="32"/>
    </row>
    <row r="210" spans="2:9" x14ac:dyDescent="0.3">
      <c r="B210" s="64">
        <v>45813</v>
      </c>
      <c r="C210">
        <v>419.1</v>
      </c>
      <c r="D210">
        <v>13.212522999999999</v>
      </c>
      <c r="F210" s="33"/>
      <c r="G210" s="30"/>
      <c r="I210" s="32"/>
    </row>
    <row r="211" spans="2:9" x14ac:dyDescent="0.3">
      <c r="B211" s="64">
        <v>45812</v>
      </c>
      <c r="C211">
        <v>417</v>
      </c>
      <c r="D211">
        <v>12.598933000000001</v>
      </c>
      <c r="F211" s="33"/>
      <c r="G211" s="30"/>
      <c r="I211" s="32"/>
    </row>
    <row r="212" spans="2:9" x14ac:dyDescent="0.3">
      <c r="B212" s="64">
        <v>45811</v>
      </c>
      <c r="C212">
        <v>416.95</v>
      </c>
      <c r="D212">
        <v>13.216486</v>
      </c>
      <c r="F212" s="33"/>
      <c r="G212" s="30"/>
      <c r="I212" s="32"/>
    </row>
    <row r="213" spans="2:9" x14ac:dyDescent="0.3">
      <c r="B213" s="64">
        <v>45810</v>
      </c>
      <c r="C213">
        <v>419.3</v>
      </c>
      <c r="D213">
        <v>14.973380000000001</v>
      </c>
      <c r="F213" s="33"/>
      <c r="G213" s="30"/>
      <c r="I213" s="32"/>
    </row>
    <row r="214" spans="2:9" x14ac:dyDescent="0.3">
      <c r="B214" s="64">
        <v>45807</v>
      </c>
      <c r="C214">
        <v>418.05</v>
      </c>
      <c r="D214">
        <v>30.656238999999999</v>
      </c>
      <c r="F214" s="33"/>
      <c r="G214" s="30"/>
      <c r="I214" s="32"/>
    </row>
    <row r="215" spans="2:9" x14ac:dyDescent="0.3">
      <c r="B215" s="64">
        <v>45806</v>
      </c>
      <c r="C215">
        <v>418.75</v>
      </c>
      <c r="D215">
        <v>21.478546999999999</v>
      </c>
      <c r="F215" s="33"/>
      <c r="G215" s="30"/>
      <c r="I215" s="32"/>
    </row>
    <row r="216" spans="2:9" x14ac:dyDescent="0.3">
      <c r="B216" s="64">
        <v>45805</v>
      </c>
      <c r="C216">
        <v>420.2</v>
      </c>
      <c r="D216">
        <v>431.85162200000002</v>
      </c>
      <c r="F216" s="33"/>
      <c r="G216" s="30"/>
      <c r="I216" s="32"/>
    </row>
    <row r="217" spans="2:9" x14ac:dyDescent="0.3">
      <c r="B217" s="64">
        <v>45804</v>
      </c>
      <c r="C217">
        <v>433.9</v>
      </c>
      <c r="D217">
        <v>26.986021999999998</v>
      </c>
      <c r="F217" s="33"/>
      <c r="G217" s="30"/>
      <c r="I217" s="32"/>
    </row>
    <row r="218" spans="2:9" x14ac:dyDescent="0.3">
      <c r="B218" s="64">
        <v>45803</v>
      </c>
      <c r="C218">
        <v>442.9</v>
      </c>
      <c r="D218">
        <v>13.107661999999999</v>
      </c>
      <c r="F218" s="33"/>
      <c r="G218" s="30"/>
      <c r="I218" s="32"/>
    </row>
    <row r="219" spans="2:9" x14ac:dyDescent="0.3">
      <c r="B219" s="64">
        <v>45800</v>
      </c>
      <c r="C219">
        <v>436.3</v>
      </c>
      <c r="D219">
        <v>18.536884000000001</v>
      </c>
      <c r="F219" s="33"/>
      <c r="G219" s="30"/>
      <c r="I219" s="32"/>
    </row>
    <row r="220" spans="2:9" x14ac:dyDescent="0.3">
      <c r="B220" s="64">
        <v>45799</v>
      </c>
      <c r="C220">
        <v>426.1</v>
      </c>
      <c r="D220">
        <v>19.451749</v>
      </c>
      <c r="F220" s="33"/>
      <c r="G220" s="30"/>
      <c r="I220" s="32"/>
    </row>
    <row r="221" spans="2:9" x14ac:dyDescent="0.3">
      <c r="B221" s="64">
        <v>45798</v>
      </c>
      <c r="C221">
        <v>433</v>
      </c>
      <c r="D221">
        <v>5.7766719999999996</v>
      </c>
      <c r="F221" s="33"/>
      <c r="G221" s="30"/>
      <c r="I221" s="32"/>
    </row>
    <row r="222" spans="2:9" x14ac:dyDescent="0.3">
      <c r="B222" s="64">
        <v>45797</v>
      </c>
      <c r="C222">
        <v>434.9</v>
      </c>
      <c r="D222">
        <v>9.8684139999999996</v>
      </c>
      <c r="F222" s="33"/>
      <c r="G222" s="30"/>
      <c r="I222" s="32"/>
    </row>
    <row r="223" spans="2:9" x14ac:dyDescent="0.3">
      <c r="B223" s="64">
        <v>45796</v>
      </c>
      <c r="C223">
        <v>435.35</v>
      </c>
      <c r="D223">
        <v>7.5438539999999996</v>
      </c>
      <c r="F223" s="33"/>
      <c r="G223" s="30"/>
      <c r="I223" s="32"/>
    </row>
    <row r="224" spans="2:9" x14ac:dyDescent="0.3">
      <c r="B224" s="64">
        <v>45793</v>
      </c>
      <c r="C224">
        <v>435.7</v>
      </c>
      <c r="D224">
        <v>16.402035000000001</v>
      </c>
      <c r="F224" s="33"/>
      <c r="G224" s="30"/>
      <c r="I224" s="32"/>
    </row>
    <row r="225" spans="2:9" x14ac:dyDescent="0.3">
      <c r="B225" s="64">
        <v>45792</v>
      </c>
      <c r="C225">
        <v>432.65</v>
      </c>
      <c r="D225">
        <v>24.26351</v>
      </c>
      <c r="F225" s="33"/>
      <c r="G225" s="30"/>
      <c r="I225" s="32"/>
    </row>
    <row r="226" spans="2:9" x14ac:dyDescent="0.3">
      <c r="B226" s="64">
        <v>45791</v>
      </c>
      <c r="C226">
        <v>429.1</v>
      </c>
      <c r="D226">
        <v>9.5573090000000001</v>
      </c>
      <c r="F226" s="33"/>
      <c r="G226" s="30"/>
      <c r="I226" s="32"/>
    </row>
    <row r="227" spans="2:9" x14ac:dyDescent="0.3">
      <c r="B227" s="64">
        <v>45790</v>
      </c>
      <c r="C227">
        <v>427.9</v>
      </c>
      <c r="D227">
        <v>14.976369</v>
      </c>
      <c r="F227" s="33"/>
      <c r="G227" s="30"/>
      <c r="I227" s="32"/>
    </row>
    <row r="228" spans="2:9" x14ac:dyDescent="0.3">
      <c r="B228" s="64">
        <v>45789</v>
      </c>
      <c r="C228">
        <v>435.5</v>
      </c>
      <c r="D228">
        <v>8.0318909999999999</v>
      </c>
      <c r="F228" s="33"/>
      <c r="G228" s="30"/>
      <c r="I228" s="32"/>
    </row>
    <row r="229" spans="2:9" x14ac:dyDescent="0.3">
      <c r="B229" s="64">
        <v>45786</v>
      </c>
      <c r="C229">
        <v>423.55</v>
      </c>
      <c r="D229">
        <v>8.2265119999999996</v>
      </c>
      <c r="F229" s="33"/>
      <c r="G229" s="30"/>
      <c r="I229" s="32"/>
    </row>
    <row r="230" spans="2:9" x14ac:dyDescent="0.3">
      <c r="B230" s="64">
        <v>45785</v>
      </c>
      <c r="C230">
        <v>430.6</v>
      </c>
      <c r="D230">
        <v>19.93796</v>
      </c>
      <c r="F230" s="33"/>
      <c r="G230" s="30"/>
      <c r="I230" s="32"/>
    </row>
    <row r="231" spans="2:9" x14ac:dyDescent="0.3">
      <c r="B231" s="64">
        <v>45784</v>
      </c>
      <c r="C231">
        <v>431.15</v>
      </c>
      <c r="D231">
        <v>9.7103610000000007</v>
      </c>
      <c r="F231" s="33"/>
      <c r="G231" s="30"/>
      <c r="I231" s="32"/>
    </row>
    <row r="232" spans="2:9" x14ac:dyDescent="0.3">
      <c r="B232" s="64">
        <v>45783</v>
      </c>
      <c r="C232">
        <v>435.55</v>
      </c>
      <c r="D232">
        <v>15.026567999999999</v>
      </c>
      <c r="F232" s="33"/>
      <c r="G232" s="30"/>
      <c r="I232" s="32"/>
    </row>
    <row r="233" spans="2:9" x14ac:dyDescent="0.3">
      <c r="B233" s="64">
        <v>45782</v>
      </c>
      <c r="C233">
        <v>436.95</v>
      </c>
      <c r="D233">
        <v>11.525304999999999</v>
      </c>
      <c r="F233" s="33"/>
      <c r="G233" s="30"/>
      <c r="I233" s="32"/>
    </row>
    <row r="234" spans="2:9" x14ac:dyDescent="0.3">
      <c r="B234" s="64">
        <v>45779</v>
      </c>
      <c r="C234">
        <v>430.25</v>
      </c>
      <c r="D234">
        <v>12.769461</v>
      </c>
      <c r="F234" s="33"/>
      <c r="G234" s="30"/>
      <c r="I234" s="32"/>
    </row>
    <row r="235" spans="2:9" x14ac:dyDescent="0.3">
      <c r="B235" s="64">
        <v>45777</v>
      </c>
      <c r="C235">
        <v>425.8</v>
      </c>
      <c r="D235">
        <v>10.026546</v>
      </c>
      <c r="F235" s="33"/>
      <c r="G235" s="30"/>
      <c r="I235" s="32"/>
    </row>
    <row r="236" spans="2:9" x14ac:dyDescent="0.3">
      <c r="B236" s="64">
        <v>45776</v>
      </c>
      <c r="C236">
        <v>426</v>
      </c>
      <c r="D236">
        <v>11.18993</v>
      </c>
      <c r="F236" s="33"/>
      <c r="G236" s="30"/>
      <c r="I236" s="32"/>
    </row>
    <row r="237" spans="2:9" x14ac:dyDescent="0.3">
      <c r="B237" s="64">
        <v>45775</v>
      </c>
      <c r="C237">
        <v>428.8</v>
      </c>
      <c r="D237">
        <v>6.2870949999999999</v>
      </c>
      <c r="F237" s="33"/>
      <c r="G237" s="30"/>
      <c r="I237" s="32"/>
    </row>
    <row r="238" spans="2:9" x14ac:dyDescent="0.3">
      <c r="B238" s="64">
        <v>45772</v>
      </c>
      <c r="C238">
        <v>427.8</v>
      </c>
      <c r="D238">
        <v>22.944376999999999</v>
      </c>
      <c r="F238" s="33"/>
      <c r="G238" s="30"/>
      <c r="I238" s="32"/>
    </row>
    <row r="239" spans="2:9" x14ac:dyDescent="0.3">
      <c r="B239" s="64">
        <v>45771</v>
      </c>
      <c r="C239">
        <v>430.05</v>
      </c>
      <c r="D239">
        <v>26.064088999999999</v>
      </c>
      <c r="F239" s="33"/>
      <c r="G239" s="30"/>
      <c r="I239" s="32"/>
    </row>
    <row r="240" spans="2:9" x14ac:dyDescent="0.3">
      <c r="B240" s="64">
        <v>45770</v>
      </c>
      <c r="C240">
        <v>430.85</v>
      </c>
      <c r="D240">
        <v>19.566317000000002</v>
      </c>
      <c r="F240" s="33"/>
      <c r="G240" s="30"/>
      <c r="I240" s="32"/>
    </row>
    <row r="241" spans="2:23" x14ac:dyDescent="0.3">
      <c r="B241" s="64">
        <v>45769</v>
      </c>
      <c r="C241">
        <v>433.6</v>
      </c>
      <c r="D241">
        <v>32.031936000000002</v>
      </c>
      <c r="F241" s="33"/>
      <c r="G241" s="30"/>
      <c r="I241" s="32"/>
    </row>
    <row r="242" spans="2:23" x14ac:dyDescent="0.3">
      <c r="B242" s="64">
        <v>45768</v>
      </c>
      <c r="C242">
        <v>422.85</v>
      </c>
      <c r="D242">
        <v>27.388235999999999</v>
      </c>
      <c r="F242" s="33"/>
      <c r="G242" s="30"/>
      <c r="I242" s="32"/>
    </row>
    <row r="243" spans="2:23" x14ac:dyDescent="0.3">
      <c r="B243" s="64">
        <v>45764</v>
      </c>
      <c r="C243">
        <v>427.25</v>
      </c>
      <c r="D243">
        <v>22.410216999999999</v>
      </c>
      <c r="F243" s="33"/>
      <c r="G243" s="30"/>
      <c r="I243" s="32"/>
    </row>
    <row r="244" spans="2:23" x14ac:dyDescent="0.3">
      <c r="B244" s="64">
        <v>45763</v>
      </c>
      <c r="C244">
        <v>424.45</v>
      </c>
      <c r="D244">
        <v>13.034594</v>
      </c>
      <c r="F244" s="33"/>
      <c r="G244" s="30"/>
      <c r="I244" s="32"/>
    </row>
    <row r="245" spans="2:23" x14ac:dyDescent="0.3">
      <c r="B245" s="64">
        <v>45762</v>
      </c>
      <c r="C245">
        <v>420.4</v>
      </c>
      <c r="D245">
        <v>11.685879999999999</v>
      </c>
      <c r="F245" s="33"/>
      <c r="G245" s="30"/>
      <c r="I245" s="32"/>
      <c r="W245">
        <f>MAX(D2:D253)</f>
        <v>431.85162200000002</v>
      </c>
    </row>
    <row r="246" spans="2:23" x14ac:dyDescent="0.3">
      <c r="B246" s="64">
        <v>45758</v>
      </c>
      <c r="C246">
        <v>421.55</v>
      </c>
      <c r="D246">
        <v>8.9393560000000001</v>
      </c>
      <c r="F246" s="33"/>
      <c r="G246" s="30"/>
      <c r="I246" s="32"/>
    </row>
    <row r="247" spans="2:23" x14ac:dyDescent="0.3">
      <c r="B247" s="64">
        <v>45756</v>
      </c>
      <c r="C247">
        <v>416.3</v>
      </c>
      <c r="D247">
        <v>21.785571999999998</v>
      </c>
      <c r="F247" s="33"/>
      <c r="G247" s="30"/>
      <c r="I247" s="32"/>
    </row>
    <row r="248" spans="2:23" x14ac:dyDescent="0.3">
      <c r="B248" s="64">
        <v>45755</v>
      </c>
      <c r="C248">
        <v>412.55</v>
      </c>
      <c r="D248">
        <v>18.600795999999999</v>
      </c>
      <c r="F248" s="33"/>
      <c r="G248" s="30"/>
      <c r="I248" s="32"/>
    </row>
    <row r="249" spans="2:23" x14ac:dyDescent="0.3">
      <c r="B249" s="64">
        <v>45754</v>
      </c>
      <c r="C249">
        <v>406.05</v>
      </c>
      <c r="D249">
        <v>26.762865999999999</v>
      </c>
      <c r="F249" s="33"/>
      <c r="G249" s="30"/>
      <c r="I249" s="32"/>
    </row>
    <row r="250" spans="2:23" x14ac:dyDescent="0.3">
      <c r="B250" s="64">
        <v>45751</v>
      </c>
      <c r="C250">
        <v>409.7</v>
      </c>
      <c r="D250">
        <v>18.627592</v>
      </c>
      <c r="F250" s="33"/>
      <c r="G250" s="30"/>
      <c r="I250" s="32"/>
    </row>
    <row r="251" spans="2:23" x14ac:dyDescent="0.3">
      <c r="B251" s="64">
        <v>45750</v>
      </c>
      <c r="C251">
        <v>409.4</v>
      </c>
      <c r="D251">
        <v>7.0595660000000002</v>
      </c>
      <c r="F251" s="33"/>
      <c r="G251" s="30"/>
      <c r="I251" s="32"/>
    </row>
    <row r="252" spans="2:23" x14ac:dyDescent="0.3">
      <c r="B252" s="64">
        <v>45749</v>
      </c>
      <c r="C252">
        <v>409.05</v>
      </c>
      <c r="D252">
        <v>8.0013229999999993</v>
      </c>
      <c r="F252" s="33"/>
      <c r="G252" s="30"/>
      <c r="I252" s="32"/>
    </row>
    <row r="253" spans="2:23" x14ac:dyDescent="0.3">
      <c r="B253" s="64">
        <v>45748</v>
      </c>
      <c r="C253">
        <v>406.65</v>
      </c>
      <c r="D253">
        <v>15.206239999999999</v>
      </c>
      <c r="F253" s="33"/>
      <c r="G253" s="30"/>
      <c r="I253" s="32"/>
    </row>
    <row r="254" spans="2:23" x14ac:dyDescent="0.3">
      <c r="B254" s="33"/>
      <c r="D254" s="63"/>
      <c r="E254" s="63"/>
      <c r="F254" s="33"/>
      <c r="G254" s="30"/>
      <c r="I254" s="32"/>
    </row>
    <row r="255" spans="2:23" x14ac:dyDescent="0.3">
      <c r="B255" s="33"/>
      <c r="D255" s="63"/>
      <c r="E255" s="63"/>
      <c r="F255" s="33"/>
      <c r="G255" s="30"/>
      <c r="I255" s="32"/>
    </row>
    <row r="256" spans="2:23" x14ac:dyDescent="0.3">
      <c r="B256" s="33"/>
      <c r="D256" s="63"/>
      <c r="E256" s="63"/>
      <c r="F256" s="33"/>
      <c r="G256" s="30"/>
      <c r="I256" s="32"/>
    </row>
    <row r="257" spans="2:9" x14ac:dyDescent="0.3">
      <c r="B257" s="33"/>
      <c r="D257" s="63"/>
      <c r="E257" s="63"/>
      <c r="F257" s="33"/>
      <c r="G257" s="30"/>
      <c r="I257" s="32"/>
    </row>
    <row r="258" spans="2:9" x14ac:dyDescent="0.3">
      <c r="B258" s="33"/>
      <c r="D258" s="63"/>
      <c r="E258" s="63"/>
      <c r="F258" s="33"/>
      <c r="G258" s="30"/>
      <c r="I258" s="32"/>
    </row>
    <row r="259" spans="2:9" x14ac:dyDescent="0.3">
      <c r="B259" s="33"/>
      <c r="D259" s="63"/>
      <c r="E259" s="63"/>
      <c r="F259" s="33"/>
      <c r="G259" s="30"/>
      <c r="I259" s="32"/>
    </row>
    <row r="260" spans="2:9" x14ac:dyDescent="0.3">
      <c r="B260" s="33"/>
      <c r="D260" s="63"/>
      <c r="E260" s="63"/>
      <c r="F260" s="33"/>
      <c r="G260" s="30"/>
      <c r="I260" s="32"/>
    </row>
    <row r="261" spans="2:9" x14ac:dyDescent="0.3">
      <c r="B261" s="33"/>
      <c r="D261" s="63"/>
      <c r="E261" s="63"/>
      <c r="F261" s="33"/>
      <c r="G261" s="30"/>
      <c r="I261" s="32"/>
    </row>
    <row r="262" spans="2:9" x14ac:dyDescent="0.3">
      <c r="B262" s="33"/>
      <c r="D262" s="63"/>
      <c r="E262" s="63"/>
      <c r="F262" s="33"/>
      <c r="G262" s="30"/>
      <c r="I262" s="32"/>
    </row>
    <row r="263" spans="2:9" x14ac:dyDescent="0.3">
      <c r="B263" s="33"/>
      <c r="D263" s="63"/>
      <c r="E263" s="63"/>
      <c r="F263" s="33"/>
      <c r="G263" s="30"/>
      <c r="I263" s="32"/>
    </row>
    <row r="264" spans="2:9" x14ac:dyDescent="0.3">
      <c r="B264" s="33"/>
      <c r="D264" s="63"/>
      <c r="E264" s="63"/>
      <c r="F264" s="33"/>
      <c r="G264" s="30"/>
      <c r="I264" s="32"/>
    </row>
    <row r="265" spans="2:9" x14ac:dyDescent="0.3">
      <c r="B265" s="33"/>
      <c r="D265" s="63"/>
      <c r="E265" s="63"/>
      <c r="F265" s="33"/>
      <c r="G265" s="30"/>
      <c r="I265" s="32"/>
    </row>
    <row r="266" spans="2:9" x14ac:dyDescent="0.3">
      <c r="B266" s="33"/>
      <c r="D266" s="63"/>
      <c r="E266" s="63"/>
      <c r="F266" s="33"/>
      <c r="G266" s="30"/>
      <c r="I266" s="32"/>
    </row>
    <row r="267" spans="2:9" x14ac:dyDescent="0.3">
      <c r="B267" s="33"/>
      <c r="D267" s="63"/>
      <c r="E267" s="63"/>
      <c r="F267" s="33"/>
      <c r="G267" s="30"/>
      <c r="I267" s="32"/>
    </row>
    <row r="268" spans="2:9" x14ac:dyDescent="0.3">
      <c r="B268" s="33"/>
      <c r="D268" s="63"/>
      <c r="E268" s="63"/>
      <c r="F268" s="33"/>
      <c r="G268" s="30"/>
      <c r="I268" s="32"/>
    </row>
    <row r="269" spans="2:9" x14ac:dyDescent="0.3">
      <c r="B269" s="33"/>
      <c r="D269" s="63"/>
      <c r="E269" s="63"/>
      <c r="F269" s="33"/>
      <c r="G269" s="30"/>
      <c r="I269" s="32"/>
    </row>
    <row r="270" spans="2:9" x14ac:dyDescent="0.3">
      <c r="B270" s="33"/>
      <c r="D270" s="63"/>
      <c r="E270" s="63"/>
      <c r="F270" s="33"/>
      <c r="G270" s="30"/>
      <c r="I270" s="32"/>
    </row>
    <row r="271" spans="2:9" x14ac:dyDescent="0.3">
      <c r="B271" s="33"/>
      <c r="D271" s="63"/>
      <c r="E271" s="63"/>
      <c r="F271" s="33"/>
      <c r="G271" s="30"/>
      <c r="I271" s="32"/>
    </row>
    <row r="272" spans="2:9" x14ac:dyDescent="0.3">
      <c r="B272" s="33"/>
      <c r="D272" s="63"/>
      <c r="E272" s="63"/>
      <c r="F272" s="33"/>
      <c r="G272" s="30"/>
      <c r="I272" s="32"/>
    </row>
    <row r="273" spans="2:9" x14ac:dyDescent="0.3">
      <c r="B273" s="33"/>
      <c r="D273" s="63"/>
      <c r="E273" s="63"/>
      <c r="F273" s="33"/>
      <c r="G273" s="30"/>
      <c r="I273" s="32"/>
    </row>
    <row r="274" spans="2:9" x14ac:dyDescent="0.3">
      <c r="B274" s="33"/>
      <c r="D274" s="63"/>
      <c r="E274" s="63"/>
      <c r="F274" s="33"/>
      <c r="G274" s="30"/>
      <c r="I274" s="32"/>
    </row>
    <row r="275" spans="2:9" x14ac:dyDescent="0.3">
      <c r="B275" s="33"/>
      <c r="D275" s="63"/>
      <c r="E275" s="63"/>
      <c r="F275" s="33"/>
      <c r="G275" s="30"/>
      <c r="I275" s="32"/>
    </row>
    <row r="276" spans="2:9" x14ac:dyDescent="0.3">
      <c r="B276" s="33"/>
      <c r="D276" s="63"/>
      <c r="E276" s="63"/>
      <c r="F276" s="33"/>
      <c r="G276" s="30"/>
      <c r="I276" s="32"/>
    </row>
    <row r="277" spans="2:9" x14ac:dyDescent="0.3">
      <c r="B277" s="33"/>
      <c r="D277" s="63"/>
      <c r="E277" s="63"/>
      <c r="F277" s="33"/>
      <c r="G277" s="30"/>
      <c r="I277" s="32"/>
    </row>
    <row r="278" spans="2:9" x14ac:dyDescent="0.3">
      <c r="B278" s="33"/>
      <c r="D278" s="63"/>
      <c r="E278" s="63"/>
      <c r="F278" s="33"/>
      <c r="G278" s="30"/>
      <c r="I278" s="32"/>
    </row>
    <row r="279" spans="2:9" x14ac:dyDescent="0.3">
      <c r="B279" s="33"/>
      <c r="D279" s="63"/>
      <c r="E279" s="63"/>
      <c r="F279" s="33"/>
      <c r="G279" s="30"/>
      <c r="I279" s="32"/>
    </row>
    <row r="280" spans="2:9" x14ac:dyDescent="0.3">
      <c r="B280" s="33"/>
      <c r="D280" s="63"/>
      <c r="E280" s="63"/>
      <c r="F280" s="33"/>
      <c r="G280" s="30"/>
      <c r="I280" s="32"/>
    </row>
    <row r="281" spans="2:9" x14ac:dyDescent="0.3">
      <c r="B281" s="33"/>
      <c r="D281" s="63"/>
      <c r="E281" s="63"/>
      <c r="F281" s="33"/>
      <c r="G281" s="30"/>
      <c r="I281" s="32"/>
    </row>
    <row r="282" spans="2:9" x14ac:dyDescent="0.3">
      <c r="B282" s="33"/>
      <c r="D282" s="63"/>
      <c r="E282" s="63"/>
      <c r="F282" s="33"/>
      <c r="G282" s="30"/>
      <c r="I282" s="32"/>
    </row>
    <row r="283" spans="2:9" x14ac:dyDescent="0.3">
      <c r="B283" s="33"/>
      <c r="D283" s="63"/>
      <c r="E283" s="63"/>
      <c r="F283" s="33"/>
      <c r="G283" s="30"/>
      <c r="I283" s="32"/>
    </row>
    <row r="284" spans="2:9" x14ac:dyDescent="0.3">
      <c r="B284" s="33"/>
      <c r="D284" s="63"/>
      <c r="E284" s="63"/>
      <c r="F284" s="33"/>
      <c r="G284" s="30"/>
      <c r="I284" s="32"/>
    </row>
    <row r="285" spans="2:9" x14ac:dyDescent="0.3">
      <c r="B285" s="33"/>
      <c r="D285" s="63"/>
      <c r="E285" s="63"/>
      <c r="F285" s="33"/>
      <c r="G285" s="30"/>
      <c r="I285" s="32"/>
    </row>
    <row r="286" spans="2:9" x14ac:dyDescent="0.3">
      <c r="B286" s="33"/>
      <c r="D286" s="63"/>
      <c r="E286" s="63"/>
      <c r="F286" s="33"/>
      <c r="G286" s="30"/>
      <c r="I286" s="32"/>
    </row>
    <row r="287" spans="2:9" x14ac:dyDescent="0.3">
      <c r="B287" s="33"/>
      <c r="D287" s="63"/>
      <c r="E287" s="63"/>
      <c r="F287" s="33"/>
      <c r="G287" s="30"/>
      <c r="I287" s="32"/>
    </row>
    <row r="288" spans="2:9" x14ac:dyDescent="0.3">
      <c r="B288" s="33"/>
      <c r="D288" s="63"/>
      <c r="E288" s="63"/>
      <c r="F288" s="33"/>
      <c r="G288" s="30"/>
      <c r="I288" s="32"/>
    </row>
    <row r="289" spans="2:9" x14ac:dyDescent="0.3">
      <c r="B289" s="33"/>
      <c r="D289" s="63"/>
      <c r="E289" s="63"/>
      <c r="F289" s="33"/>
      <c r="G289" s="30"/>
      <c r="I289" s="32"/>
    </row>
    <row r="290" spans="2:9" x14ac:dyDescent="0.3">
      <c r="B290" s="33"/>
      <c r="D290" s="63"/>
      <c r="E290" s="63"/>
      <c r="F290" s="33"/>
      <c r="G290" s="30"/>
      <c r="I290" s="32"/>
    </row>
    <row r="291" spans="2:9" x14ac:dyDescent="0.3">
      <c r="B291" s="33"/>
      <c r="D291" s="63"/>
      <c r="E291" s="63"/>
      <c r="F291" s="33"/>
      <c r="G291" s="30"/>
      <c r="I291" s="32"/>
    </row>
    <row r="292" spans="2:9" x14ac:dyDescent="0.3">
      <c r="B292" s="33"/>
      <c r="D292" s="63"/>
      <c r="E292" s="63"/>
      <c r="F292" s="33"/>
      <c r="G292" s="30"/>
      <c r="I292" s="32"/>
    </row>
    <row r="293" spans="2:9" x14ac:dyDescent="0.3">
      <c r="B293" s="33"/>
      <c r="D293" s="63"/>
      <c r="E293" s="63"/>
      <c r="F293" s="33"/>
      <c r="G293" s="30"/>
      <c r="I293" s="32"/>
    </row>
    <row r="294" spans="2:9" x14ac:dyDescent="0.3">
      <c r="B294" s="33"/>
      <c r="D294" s="63"/>
      <c r="E294" s="63"/>
      <c r="F294" s="33"/>
      <c r="G294" s="30"/>
      <c r="I294" s="32"/>
    </row>
    <row r="295" spans="2:9" x14ac:dyDescent="0.3">
      <c r="B295" s="33"/>
      <c r="D295" s="63"/>
      <c r="E295" s="63"/>
      <c r="F295" s="33"/>
      <c r="G295" s="30"/>
      <c r="I295" s="32"/>
    </row>
    <row r="296" spans="2:9" x14ac:dyDescent="0.3">
      <c r="B296" s="33"/>
      <c r="D296" s="63"/>
      <c r="E296" s="63"/>
      <c r="F296" s="33"/>
      <c r="G296" s="30"/>
      <c r="I296" s="32"/>
    </row>
    <row r="297" spans="2:9" x14ac:dyDescent="0.3">
      <c r="B297" s="33"/>
      <c r="D297" s="63"/>
      <c r="E297" s="63"/>
      <c r="F297" s="33"/>
      <c r="G297" s="30"/>
      <c r="I297" s="32"/>
    </row>
    <row r="298" spans="2:9" x14ac:dyDescent="0.3">
      <c r="B298" s="33"/>
      <c r="D298" s="63"/>
      <c r="E298" s="63"/>
      <c r="F298" s="33"/>
      <c r="G298" s="30"/>
      <c r="I298" s="32"/>
    </row>
    <row r="299" spans="2:9" x14ac:dyDescent="0.3">
      <c r="B299" s="33"/>
      <c r="D299" s="63"/>
      <c r="E299" s="63"/>
      <c r="F299" s="33"/>
      <c r="G299" s="30"/>
      <c r="I299" s="32"/>
    </row>
    <row r="300" spans="2:9" x14ac:dyDescent="0.3">
      <c r="B300" s="33"/>
      <c r="D300" s="63"/>
      <c r="E300" s="63"/>
      <c r="F300" s="33"/>
      <c r="G300" s="30"/>
      <c r="I300" s="32"/>
    </row>
    <row r="301" spans="2:9" x14ac:dyDescent="0.3">
      <c r="B301" s="33"/>
      <c r="D301" s="63"/>
      <c r="E301" s="63"/>
      <c r="F301" s="33"/>
      <c r="G301" s="30"/>
      <c r="I301" s="32"/>
    </row>
    <row r="302" spans="2:9" x14ac:dyDescent="0.3">
      <c r="B302" s="33"/>
      <c r="D302" s="63"/>
      <c r="E302" s="63"/>
      <c r="F302" s="33"/>
      <c r="G302" s="30"/>
      <c r="I302" s="32"/>
    </row>
    <row r="303" spans="2:9" x14ac:dyDescent="0.3">
      <c r="B303" s="33"/>
      <c r="D303" s="63"/>
      <c r="E303" s="63"/>
      <c r="F303" s="33"/>
      <c r="G303" s="30"/>
      <c r="I303" s="32"/>
    </row>
    <row r="304" spans="2:9" x14ac:dyDescent="0.3">
      <c r="B304" s="33"/>
      <c r="D304" s="63"/>
      <c r="E304" s="63"/>
      <c r="F304" s="33"/>
      <c r="G304" s="30"/>
      <c r="I304" s="32"/>
    </row>
    <row r="305" spans="2:9" x14ac:dyDescent="0.3">
      <c r="B305" s="33"/>
      <c r="D305" s="63"/>
      <c r="E305" s="63"/>
      <c r="F305" s="33"/>
      <c r="G305" s="30"/>
      <c r="I305" s="32"/>
    </row>
    <row r="306" spans="2:9" x14ac:dyDescent="0.3">
      <c r="B306" s="33"/>
      <c r="D306" s="63"/>
      <c r="E306" s="63"/>
      <c r="F306" s="33"/>
      <c r="G306" s="30"/>
      <c r="I306" s="32"/>
    </row>
    <row r="307" spans="2:9" x14ac:dyDescent="0.3">
      <c r="B307" s="33"/>
      <c r="D307" s="63"/>
      <c r="E307" s="63"/>
      <c r="F307" s="33"/>
      <c r="G307" s="30"/>
      <c r="I307" s="32"/>
    </row>
    <row r="308" spans="2:9" x14ac:dyDescent="0.3">
      <c r="B308" s="33"/>
      <c r="D308" s="63"/>
      <c r="E308" s="63"/>
      <c r="F308" s="33"/>
      <c r="G308" s="30"/>
      <c r="I308" s="32"/>
    </row>
    <row r="309" spans="2:9" x14ac:dyDescent="0.3">
      <c r="B309" s="33"/>
      <c r="D309" s="63"/>
      <c r="E309" s="63"/>
      <c r="F309" s="33"/>
      <c r="G309" s="30"/>
      <c r="I309" s="32"/>
    </row>
    <row r="310" spans="2:9" x14ac:dyDescent="0.3">
      <c r="B310" s="33"/>
      <c r="D310" s="63"/>
      <c r="E310" s="63"/>
      <c r="F310" s="33"/>
      <c r="G310" s="30"/>
      <c r="I310" s="32"/>
    </row>
    <row r="311" spans="2:9" x14ac:dyDescent="0.3">
      <c r="B311" s="33"/>
      <c r="D311" s="63"/>
      <c r="E311" s="63"/>
      <c r="F311" s="33"/>
      <c r="G311" s="30"/>
      <c r="I311" s="32"/>
    </row>
    <row r="312" spans="2:9" x14ac:dyDescent="0.3">
      <c r="B312" s="33"/>
      <c r="D312" s="63"/>
      <c r="E312" s="63"/>
      <c r="F312" s="33"/>
      <c r="G312" s="30"/>
      <c r="I312" s="32"/>
    </row>
    <row r="313" spans="2:9" x14ac:dyDescent="0.3">
      <c r="B313" s="33"/>
      <c r="D313" s="63"/>
      <c r="E313" s="63"/>
      <c r="F313" s="33"/>
      <c r="G313" s="30"/>
      <c r="I313" s="32"/>
    </row>
    <row r="314" spans="2:9" x14ac:dyDescent="0.3">
      <c r="B314" s="33"/>
      <c r="D314" s="63"/>
      <c r="E314" s="63"/>
      <c r="F314" s="33"/>
      <c r="G314" s="30"/>
      <c r="I314" s="32"/>
    </row>
    <row r="315" spans="2:9" x14ac:dyDescent="0.3">
      <c r="B315" s="33"/>
      <c r="D315" s="63"/>
      <c r="E315" s="63"/>
      <c r="F315" s="33"/>
      <c r="G315" s="30"/>
      <c r="I315" s="32"/>
    </row>
    <row r="316" spans="2:9" x14ac:dyDescent="0.3">
      <c r="B316" s="33"/>
      <c r="D316" s="63"/>
      <c r="E316" s="63"/>
      <c r="F316" s="33"/>
      <c r="G316" s="30"/>
      <c r="I316" s="32"/>
    </row>
    <row r="317" spans="2:9" x14ac:dyDescent="0.3">
      <c r="B317" s="33"/>
      <c r="D317" s="63"/>
      <c r="E317" s="63"/>
      <c r="F317" s="33"/>
      <c r="G317" s="30"/>
      <c r="I317" s="32"/>
    </row>
    <row r="318" spans="2:9" x14ac:dyDescent="0.3">
      <c r="B318" s="33"/>
      <c r="D318" s="63"/>
      <c r="E318" s="63"/>
      <c r="F318" s="33"/>
      <c r="G318" s="30"/>
      <c r="I318" s="32"/>
    </row>
    <row r="319" spans="2:9" x14ac:dyDescent="0.3">
      <c r="B319" s="33"/>
      <c r="D319" s="63"/>
      <c r="E319" s="63"/>
      <c r="F319" s="33"/>
      <c r="G319" s="30"/>
      <c r="I319" s="32"/>
    </row>
    <row r="320" spans="2:9" x14ac:dyDescent="0.3">
      <c r="B320" s="33"/>
      <c r="D320" s="63"/>
      <c r="E320" s="63"/>
      <c r="F320" s="33"/>
      <c r="G320" s="30"/>
      <c r="I320" s="32"/>
    </row>
    <row r="321" spans="2:9" x14ac:dyDescent="0.3">
      <c r="B321" s="33"/>
      <c r="D321" s="63"/>
      <c r="E321" s="63"/>
      <c r="F321" s="33"/>
      <c r="G321" s="30"/>
      <c r="I321" s="32"/>
    </row>
    <row r="322" spans="2:9" x14ac:dyDescent="0.3">
      <c r="B322" s="33"/>
      <c r="D322" s="63"/>
      <c r="E322" s="63"/>
      <c r="F322" s="33"/>
      <c r="G322" s="30"/>
      <c r="I322" s="32"/>
    </row>
    <row r="323" spans="2:9" x14ac:dyDescent="0.3">
      <c r="B323" s="33"/>
      <c r="D323" s="63"/>
      <c r="E323" s="63"/>
      <c r="F323" s="33"/>
      <c r="G323" s="30"/>
      <c r="I323" s="32"/>
    </row>
    <row r="324" spans="2:9" x14ac:dyDescent="0.3">
      <c r="B324" s="33"/>
      <c r="D324" s="63"/>
      <c r="E324" s="63"/>
      <c r="F324" s="33"/>
      <c r="G324" s="30"/>
      <c r="I324" s="32"/>
    </row>
    <row r="325" spans="2:9" x14ac:dyDescent="0.3">
      <c r="B325" s="33"/>
      <c r="D325" s="63"/>
      <c r="E325" s="63"/>
      <c r="F325" s="33"/>
      <c r="G325" s="30"/>
      <c r="I325" s="32"/>
    </row>
    <row r="326" spans="2:9" x14ac:dyDescent="0.3">
      <c r="B326" s="33"/>
      <c r="D326" s="63"/>
      <c r="E326" s="63"/>
      <c r="F326" s="33"/>
      <c r="G326" s="30"/>
      <c r="I326" s="32"/>
    </row>
    <row r="327" spans="2:9" x14ac:dyDescent="0.3">
      <c r="B327" s="33"/>
      <c r="D327" s="63"/>
      <c r="E327" s="63"/>
      <c r="F327" s="33"/>
      <c r="G327" s="30"/>
      <c r="I327" s="32"/>
    </row>
    <row r="328" spans="2:9" x14ac:dyDescent="0.3">
      <c r="B328" s="33"/>
      <c r="D328" s="63"/>
      <c r="E328" s="63"/>
      <c r="F328" s="33"/>
      <c r="G328" s="30"/>
      <c r="I328" s="32"/>
    </row>
    <row r="329" spans="2:9" x14ac:dyDescent="0.3">
      <c r="B329" s="33"/>
      <c r="D329" s="63"/>
      <c r="E329" s="63"/>
      <c r="F329" s="33"/>
      <c r="G329" s="30"/>
      <c r="I329" s="32"/>
    </row>
    <row r="330" spans="2:9" x14ac:dyDescent="0.3">
      <c r="B330" s="33"/>
      <c r="D330" s="63"/>
      <c r="E330" s="63"/>
      <c r="F330" s="33"/>
      <c r="G330" s="30"/>
      <c r="I330" s="32"/>
    </row>
    <row r="331" spans="2:9" x14ac:dyDescent="0.3">
      <c r="B331" s="33"/>
      <c r="D331" s="63"/>
      <c r="E331" s="63"/>
      <c r="F331" s="33"/>
      <c r="G331" s="30"/>
      <c r="I331" s="32"/>
    </row>
    <row r="332" spans="2:9" x14ac:dyDescent="0.3">
      <c r="B332" s="33"/>
      <c r="D332" s="63"/>
      <c r="E332" s="63"/>
      <c r="F332" s="33"/>
      <c r="G332" s="30"/>
      <c r="I332" s="32"/>
    </row>
    <row r="333" spans="2:9" x14ac:dyDescent="0.3">
      <c r="B333" s="33"/>
      <c r="D333" s="63"/>
      <c r="E333" s="63"/>
      <c r="F333" s="33"/>
      <c r="G333" s="30"/>
      <c r="I333" s="32"/>
    </row>
    <row r="334" spans="2:9" x14ac:dyDescent="0.3">
      <c r="B334" s="33"/>
      <c r="D334" s="63"/>
      <c r="E334" s="63"/>
      <c r="F334" s="33"/>
      <c r="G334" s="30"/>
      <c r="I334" s="32"/>
    </row>
    <row r="335" spans="2:9" x14ac:dyDescent="0.3">
      <c r="B335" s="33"/>
      <c r="D335" s="63"/>
      <c r="E335" s="63"/>
      <c r="F335" s="33"/>
      <c r="G335" s="30"/>
      <c r="I335" s="32"/>
    </row>
    <row r="336" spans="2:9" x14ac:dyDescent="0.3">
      <c r="B336" s="33"/>
      <c r="D336" s="63"/>
      <c r="E336" s="63"/>
      <c r="F336" s="33"/>
      <c r="G336" s="30"/>
      <c r="I336" s="32"/>
    </row>
    <row r="337" spans="2:9" x14ac:dyDescent="0.3">
      <c r="B337" s="33"/>
      <c r="D337" s="63"/>
      <c r="E337" s="63"/>
      <c r="F337" s="33"/>
      <c r="G337" s="30"/>
      <c r="I337" s="32"/>
    </row>
    <row r="338" spans="2:9" x14ac:dyDescent="0.3">
      <c r="B338" s="33"/>
      <c r="D338" s="63"/>
      <c r="E338" s="63"/>
      <c r="F338" s="33"/>
      <c r="G338" s="30"/>
      <c r="I338" s="32"/>
    </row>
    <row r="339" spans="2:9" x14ac:dyDescent="0.3">
      <c r="B339" s="33"/>
      <c r="D339" s="63"/>
      <c r="E339" s="63"/>
      <c r="F339" s="33"/>
      <c r="G339" s="30"/>
      <c r="I339" s="32"/>
    </row>
    <row r="340" spans="2:9" x14ac:dyDescent="0.3">
      <c r="B340" s="33"/>
      <c r="D340" s="63"/>
      <c r="E340" s="63"/>
      <c r="F340" s="33"/>
      <c r="G340" s="30"/>
      <c r="I340" s="32"/>
    </row>
    <row r="341" spans="2:9" x14ac:dyDescent="0.3">
      <c r="B341" s="33"/>
      <c r="D341" s="63"/>
      <c r="E341" s="63"/>
      <c r="F341" s="33"/>
      <c r="G341" s="30"/>
      <c r="I341" s="32"/>
    </row>
    <row r="342" spans="2:9" x14ac:dyDescent="0.3">
      <c r="B342" s="33"/>
      <c r="D342" s="63"/>
      <c r="E342" s="63"/>
      <c r="F342" s="33"/>
      <c r="G342" s="30"/>
      <c r="I342" s="32"/>
    </row>
    <row r="343" spans="2:9" x14ac:dyDescent="0.3">
      <c r="B343" s="33"/>
      <c r="D343" s="63"/>
      <c r="E343" s="63"/>
      <c r="F343" s="33"/>
      <c r="G343" s="30"/>
      <c r="I343" s="32"/>
    </row>
    <row r="344" spans="2:9" x14ac:dyDescent="0.3">
      <c r="B344" s="33"/>
      <c r="D344" s="63"/>
      <c r="E344" s="63"/>
      <c r="F344" s="33"/>
      <c r="G344" s="30"/>
      <c r="I344" s="32"/>
    </row>
    <row r="345" spans="2:9" x14ac:dyDescent="0.3">
      <c r="B345" s="33"/>
      <c r="D345" s="63"/>
      <c r="E345" s="63"/>
      <c r="F345" s="33"/>
      <c r="G345" s="30"/>
      <c r="I345" s="32"/>
    </row>
    <row r="346" spans="2:9" x14ac:dyDescent="0.3">
      <c r="B346" s="33"/>
      <c r="D346" s="63"/>
      <c r="E346" s="63"/>
      <c r="F346" s="33"/>
      <c r="G346" s="30"/>
      <c r="I346" s="32"/>
    </row>
    <row r="347" spans="2:9" x14ac:dyDescent="0.3">
      <c r="B347" s="33"/>
      <c r="D347" s="63"/>
      <c r="E347" s="63"/>
      <c r="F347" s="33"/>
      <c r="G347" s="30"/>
      <c r="I347" s="32"/>
    </row>
    <row r="348" spans="2:9" x14ac:dyDescent="0.3">
      <c r="B348" s="33"/>
      <c r="D348" s="63"/>
      <c r="E348" s="63"/>
      <c r="F348" s="33"/>
      <c r="G348" s="30"/>
      <c r="I348" s="32"/>
    </row>
    <row r="349" spans="2:9" x14ac:dyDescent="0.3">
      <c r="B349" s="33"/>
      <c r="D349" s="63"/>
      <c r="E349" s="63"/>
      <c r="F349" s="33"/>
      <c r="G349" s="30"/>
      <c r="I349" s="32"/>
    </row>
    <row r="350" spans="2:9" x14ac:dyDescent="0.3">
      <c r="B350" s="33"/>
      <c r="D350" s="63"/>
      <c r="E350" s="63"/>
      <c r="F350" s="33"/>
      <c r="G350" s="30"/>
      <c r="I350" s="32"/>
    </row>
    <row r="351" spans="2:9" x14ac:dyDescent="0.3">
      <c r="B351" s="33"/>
      <c r="D351" s="63"/>
      <c r="E351" s="63"/>
      <c r="F351" s="33"/>
      <c r="G351" s="30"/>
      <c r="I351" s="32"/>
    </row>
    <row r="352" spans="2:9" x14ac:dyDescent="0.3">
      <c r="B352" s="33"/>
      <c r="D352" s="63"/>
      <c r="E352" s="63"/>
      <c r="F352" s="33"/>
      <c r="G352" s="30"/>
      <c r="I352" s="32"/>
    </row>
    <row r="353" spans="2:9" x14ac:dyDescent="0.3">
      <c r="B353" s="33"/>
      <c r="D353" s="63"/>
      <c r="E353" s="63"/>
      <c r="F353" s="33"/>
      <c r="G353" s="30"/>
      <c r="I353" s="32"/>
    </row>
    <row r="354" spans="2:9" x14ac:dyDescent="0.3">
      <c r="B354" s="33"/>
      <c r="D354" s="63"/>
      <c r="E354" s="63"/>
      <c r="F354" s="33"/>
      <c r="G354" s="30"/>
      <c r="I354" s="32"/>
    </row>
    <row r="355" spans="2:9" x14ac:dyDescent="0.3">
      <c r="B355" s="33"/>
      <c r="D355" s="63"/>
      <c r="E355" s="63"/>
      <c r="F355" s="33"/>
      <c r="G355" s="30"/>
      <c r="I355" s="32"/>
    </row>
    <row r="356" spans="2:9" x14ac:dyDescent="0.3">
      <c r="B356" s="33"/>
      <c r="D356" s="63"/>
      <c r="E356" s="63"/>
      <c r="F356" s="33"/>
      <c r="G356" s="30"/>
      <c r="I356" s="32"/>
    </row>
    <row r="357" spans="2:9" x14ac:dyDescent="0.3">
      <c r="B357" s="33"/>
      <c r="D357" s="63"/>
      <c r="E357" s="63"/>
      <c r="F357" s="33"/>
      <c r="G357" s="30"/>
      <c r="I357" s="32"/>
    </row>
    <row r="358" spans="2:9" x14ac:dyDescent="0.3">
      <c r="B358" s="33"/>
      <c r="D358" s="63"/>
      <c r="E358" s="63"/>
      <c r="F358" s="33"/>
      <c r="G358" s="30"/>
      <c r="I358" s="32"/>
    </row>
    <row r="359" spans="2:9" x14ac:dyDescent="0.3">
      <c r="B359" s="33"/>
      <c r="D359" s="63"/>
      <c r="E359" s="63"/>
      <c r="F359" s="33"/>
      <c r="G359" s="30"/>
      <c r="I359" s="32"/>
    </row>
    <row r="360" spans="2:9" x14ac:dyDescent="0.3">
      <c r="B360" s="33"/>
      <c r="D360" s="63"/>
      <c r="E360" s="63"/>
      <c r="F360" s="33"/>
      <c r="G360" s="30"/>
      <c r="I360" s="32"/>
    </row>
    <row r="361" spans="2:9" x14ac:dyDescent="0.3">
      <c r="B361" s="33"/>
      <c r="D361" s="63"/>
      <c r="E361" s="63"/>
      <c r="F361" s="33"/>
      <c r="G361" s="30"/>
      <c r="I361" s="32"/>
    </row>
    <row r="362" spans="2:9" x14ac:dyDescent="0.3">
      <c r="B362" s="33"/>
      <c r="D362" s="63"/>
      <c r="E362" s="63"/>
      <c r="F362" s="33"/>
      <c r="G362" s="30"/>
      <c r="I362" s="32"/>
    </row>
    <row r="363" spans="2:9" x14ac:dyDescent="0.3">
      <c r="B363" s="33"/>
      <c r="D363" s="63"/>
      <c r="E363" s="63"/>
      <c r="F363" s="33"/>
      <c r="G363" s="30"/>
      <c r="I363" s="32"/>
    </row>
    <row r="364" spans="2:9" x14ac:dyDescent="0.3">
      <c r="B364" s="33"/>
      <c r="D364" s="63"/>
      <c r="E364" s="63"/>
      <c r="F364" s="33"/>
      <c r="G364" s="30"/>
      <c r="I364" s="32"/>
    </row>
    <row r="365" spans="2:9" x14ac:dyDescent="0.3">
      <c r="B365" s="33"/>
      <c r="D365" s="63"/>
      <c r="E365" s="63"/>
      <c r="F365" s="33"/>
      <c r="G365" s="30"/>
      <c r="I365" s="32"/>
    </row>
    <row r="366" spans="2:9" x14ac:dyDescent="0.3">
      <c r="B366" s="33"/>
      <c r="D366" s="63"/>
      <c r="E366" s="63"/>
      <c r="F366" s="33"/>
      <c r="G366" s="30"/>
      <c r="I366" s="32"/>
    </row>
    <row r="367" spans="2:9" x14ac:dyDescent="0.3">
      <c r="B367" s="33"/>
      <c r="D367" s="63"/>
      <c r="E367" s="63"/>
      <c r="F367" s="33"/>
      <c r="G367" s="30"/>
      <c r="I367" s="32"/>
    </row>
    <row r="368" spans="2:9" x14ac:dyDescent="0.3">
      <c r="B368" s="33"/>
      <c r="D368" s="63"/>
      <c r="E368" s="63"/>
      <c r="F368" s="33"/>
      <c r="G368" s="30"/>
      <c r="I368" s="32"/>
    </row>
    <row r="369" spans="2:9" x14ac:dyDescent="0.3">
      <c r="B369" s="33"/>
      <c r="D369" s="63"/>
      <c r="E369" s="63"/>
      <c r="F369" s="33"/>
      <c r="G369" s="30"/>
      <c r="I369" s="32"/>
    </row>
    <row r="370" spans="2:9" x14ac:dyDescent="0.3">
      <c r="B370" s="33"/>
      <c r="D370" s="63"/>
      <c r="E370" s="63"/>
      <c r="F370" s="33"/>
      <c r="G370" s="30"/>
      <c r="I370" s="32"/>
    </row>
    <row r="371" spans="2:9" x14ac:dyDescent="0.3">
      <c r="B371" s="33"/>
      <c r="D371" s="63"/>
      <c r="E371" s="63"/>
      <c r="F371" s="33"/>
      <c r="G371" s="30"/>
      <c r="I371" s="32"/>
    </row>
    <row r="372" spans="2:9" x14ac:dyDescent="0.3">
      <c r="B372" s="33"/>
      <c r="D372" s="63"/>
      <c r="E372" s="63"/>
      <c r="F372" s="33"/>
      <c r="G372" s="30"/>
      <c r="I372" s="32"/>
    </row>
    <row r="373" spans="2:9" x14ac:dyDescent="0.3">
      <c r="B373" s="33"/>
      <c r="D373" s="63"/>
      <c r="E373" s="63"/>
      <c r="F373" s="33"/>
      <c r="G373" s="30"/>
      <c r="I373" s="32"/>
    </row>
    <row r="374" spans="2:9" x14ac:dyDescent="0.3">
      <c r="B374" s="33"/>
      <c r="D374" s="63"/>
      <c r="E374" s="63"/>
      <c r="F374" s="33"/>
      <c r="G374" s="30"/>
      <c r="I374" s="32"/>
    </row>
    <row r="375" spans="2:9" x14ac:dyDescent="0.3">
      <c r="B375" s="33"/>
      <c r="D375" s="63"/>
      <c r="E375" s="63"/>
      <c r="F375" s="33"/>
      <c r="G375" s="30"/>
      <c r="I375" s="32"/>
    </row>
    <row r="376" spans="2:9" x14ac:dyDescent="0.3">
      <c r="B376" s="33"/>
      <c r="D376" s="63"/>
      <c r="E376" s="63"/>
      <c r="F376" s="33"/>
      <c r="G376" s="30"/>
      <c r="I376" s="32"/>
    </row>
    <row r="377" spans="2:9" x14ac:dyDescent="0.3">
      <c r="B377" s="33"/>
      <c r="D377" s="63"/>
      <c r="E377" s="63"/>
      <c r="F377" s="33"/>
      <c r="G377" s="30"/>
      <c r="I377" s="32"/>
    </row>
    <row r="378" spans="2:9" x14ac:dyDescent="0.3">
      <c r="B378" s="33"/>
      <c r="D378" s="63"/>
      <c r="E378" s="63"/>
      <c r="F378" s="33"/>
      <c r="G378" s="30"/>
      <c r="I378" s="32"/>
    </row>
    <row r="379" spans="2:9" x14ac:dyDescent="0.3">
      <c r="B379" s="33"/>
      <c r="D379" s="63"/>
      <c r="E379" s="63"/>
      <c r="F379" s="33"/>
      <c r="G379" s="30"/>
      <c r="I379" s="32"/>
    </row>
    <row r="380" spans="2:9" x14ac:dyDescent="0.3">
      <c r="B380" s="33"/>
      <c r="D380" s="63"/>
      <c r="E380" s="63"/>
      <c r="F380" s="33"/>
      <c r="G380" s="30"/>
      <c r="I380" s="32"/>
    </row>
    <row r="381" spans="2:9" x14ac:dyDescent="0.3">
      <c r="B381" s="33"/>
      <c r="D381" s="63"/>
      <c r="E381" s="63"/>
      <c r="F381" s="33"/>
      <c r="G381" s="30"/>
      <c r="I381" s="32"/>
    </row>
    <row r="382" spans="2:9" x14ac:dyDescent="0.3">
      <c r="B382" s="33"/>
      <c r="D382" s="63"/>
      <c r="E382" s="63"/>
      <c r="F382" s="33"/>
      <c r="G382" s="30"/>
      <c r="I382" s="32"/>
    </row>
    <row r="383" spans="2:9" x14ac:dyDescent="0.3">
      <c r="B383" s="33"/>
      <c r="D383" s="63"/>
      <c r="E383" s="63"/>
      <c r="F383" s="33"/>
      <c r="G383" s="30"/>
      <c r="I383" s="32"/>
    </row>
    <row r="384" spans="2:9" x14ac:dyDescent="0.3">
      <c r="B384" s="33"/>
      <c r="D384" s="63"/>
      <c r="E384" s="63"/>
      <c r="F384" s="33"/>
      <c r="G384" s="30"/>
      <c r="I384" s="32"/>
    </row>
    <row r="385" spans="2:9" x14ac:dyDescent="0.3">
      <c r="B385" s="33"/>
      <c r="D385" s="63"/>
      <c r="E385" s="63"/>
      <c r="F385" s="33"/>
      <c r="G385" s="30"/>
      <c r="I385" s="32"/>
    </row>
    <row r="386" spans="2:9" x14ac:dyDescent="0.3">
      <c r="B386" s="33"/>
      <c r="D386" s="63"/>
      <c r="E386" s="63"/>
      <c r="F386" s="33"/>
      <c r="G386" s="30"/>
      <c r="I386" s="32"/>
    </row>
    <row r="387" spans="2:9" x14ac:dyDescent="0.3">
      <c r="B387" s="33"/>
      <c r="D387" s="63"/>
      <c r="E387" s="63"/>
      <c r="F387" s="33"/>
      <c r="G387" s="30"/>
      <c r="I387" s="32"/>
    </row>
    <row r="388" spans="2:9" x14ac:dyDescent="0.3">
      <c r="B388" s="33"/>
      <c r="D388" s="63"/>
      <c r="E388" s="63"/>
      <c r="F388" s="33"/>
      <c r="G388" s="30"/>
      <c r="I388" s="32"/>
    </row>
    <row r="389" spans="2:9" x14ac:dyDescent="0.3">
      <c r="B389" s="33"/>
      <c r="D389" s="63"/>
      <c r="E389" s="63"/>
      <c r="F389" s="33"/>
      <c r="G389" s="30"/>
      <c r="I389" s="32"/>
    </row>
    <row r="390" spans="2:9" x14ac:dyDescent="0.3">
      <c r="B390" s="33"/>
      <c r="D390" s="63"/>
      <c r="E390" s="63"/>
      <c r="F390" s="33"/>
      <c r="G390" s="30"/>
      <c r="I390" s="32"/>
    </row>
    <row r="391" spans="2:9" x14ac:dyDescent="0.3">
      <c r="B391" s="33"/>
      <c r="D391" s="63"/>
      <c r="E391" s="63"/>
      <c r="F391" s="33"/>
      <c r="G391" s="30"/>
      <c r="I391" s="32"/>
    </row>
    <row r="392" spans="2:9" x14ac:dyDescent="0.3">
      <c r="B392" s="33"/>
      <c r="D392" s="63"/>
      <c r="E392" s="63"/>
      <c r="F392" s="33"/>
      <c r="G392" s="30"/>
      <c r="I392" s="32"/>
    </row>
    <row r="393" spans="2:9" x14ac:dyDescent="0.3">
      <c r="B393" s="33"/>
      <c r="D393" s="63"/>
      <c r="E393" s="63"/>
      <c r="F393" s="33"/>
      <c r="G393" s="30"/>
      <c r="I393" s="32"/>
    </row>
    <row r="394" spans="2:9" x14ac:dyDescent="0.3">
      <c r="B394" s="33"/>
      <c r="D394" s="63"/>
      <c r="E394" s="63"/>
      <c r="F394" s="33"/>
      <c r="G394" s="30"/>
      <c r="I394" s="32"/>
    </row>
    <row r="395" spans="2:9" x14ac:dyDescent="0.3">
      <c r="B395" s="33"/>
      <c r="D395" s="63"/>
      <c r="E395" s="63"/>
      <c r="F395" s="33"/>
      <c r="G395" s="30"/>
      <c r="I395" s="32"/>
    </row>
    <row r="396" spans="2:9" x14ac:dyDescent="0.3">
      <c r="B396" s="33"/>
      <c r="D396" s="63"/>
      <c r="E396" s="63"/>
      <c r="F396" s="33"/>
      <c r="G396" s="30"/>
      <c r="I396" s="32"/>
    </row>
    <row r="397" spans="2:9" x14ac:dyDescent="0.3">
      <c r="B397" s="33"/>
      <c r="D397" s="63"/>
      <c r="E397" s="63"/>
      <c r="F397" s="33"/>
      <c r="G397" s="30"/>
      <c r="I397" s="32"/>
    </row>
    <row r="398" spans="2:9" x14ac:dyDescent="0.3">
      <c r="B398" s="33"/>
      <c r="D398" s="63"/>
      <c r="E398" s="63"/>
      <c r="F398" s="33"/>
      <c r="G398" s="30"/>
      <c r="I398" s="32"/>
    </row>
    <row r="399" spans="2:9" x14ac:dyDescent="0.3">
      <c r="B399" s="33"/>
      <c r="D399" s="63"/>
      <c r="E399" s="63"/>
      <c r="F399" s="33"/>
      <c r="G399" s="30"/>
      <c r="I399" s="32"/>
    </row>
    <row r="400" spans="2:9" x14ac:dyDescent="0.3">
      <c r="B400" s="33"/>
      <c r="D400" s="63"/>
      <c r="E400" s="63"/>
      <c r="F400" s="33"/>
      <c r="G400" s="30"/>
      <c r="I400" s="32"/>
    </row>
    <row r="401" spans="2:9" x14ac:dyDescent="0.3">
      <c r="B401" s="33"/>
      <c r="D401" s="63"/>
      <c r="E401" s="63"/>
      <c r="F401" s="33"/>
      <c r="G401" s="30"/>
      <c r="I401" s="32"/>
    </row>
    <row r="402" spans="2:9" x14ac:dyDescent="0.3">
      <c r="B402" s="33"/>
      <c r="D402" s="63"/>
      <c r="E402" s="63"/>
      <c r="F402" s="33"/>
      <c r="G402" s="30"/>
      <c r="I402" s="32"/>
    </row>
    <row r="403" spans="2:9" x14ac:dyDescent="0.3">
      <c r="B403" s="33"/>
      <c r="D403" s="63"/>
      <c r="E403" s="63"/>
      <c r="F403" s="33"/>
      <c r="G403" s="30"/>
      <c r="I403" s="32"/>
    </row>
    <row r="404" spans="2:9" x14ac:dyDescent="0.3">
      <c r="B404" s="33"/>
      <c r="D404" s="63"/>
      <c r="E404" s="63"/>
      <c r="F404" s="33"/>
      <c r="G404" s="30"/>
      <c r="I404" s="32"/>
    </row>
    <row r="405" spans="2:9" x14ac:dyDescent="0.3">
      <c r="B405" s="33"/>
      <c r="D405" s="63"/>
      <c r="E405" s="63"/>
      <c r="F405" s="33"/>
      <c r="G405" s="30"/>
      <c r="I405" s="32"/>
    </row>
    <row r="406" spans="2:9" x14ac:dyDescent="0.3">
      <c r="B406" s="33"/>
      <c r="D406" s="63"/>
      <c r="E406" s="63"/>
      <c r="F406" s="33"/>
      <c r="G406" s="30"/>
      <c r="I406" s="32"/>
    </row>
    <row r="407" spans="2:9" x14ac:dyDescent="0.3">
      <c r="B407" s="33"/>
      <c r="D407" s="63"/>
      <c r="E407" s="63"/>
      <c r="F407" s="33"/>
      <c r="G407" s="30"/>
      <c r="I407" s="32"/>
    </row>
    <row r="408" spans="2:9" x14ac:dyDescent="0.3">
      <c r="B408" s="33"/>
      <c r="D408" s="63"/>
      <c r="E408" s="63"/>
      <c r="F408" s="33"/>
      <c r="G408" s="30"/>
      <c r="I408" s="32"/>
    </row>
    <row r="409" spans="2:9" x14ac:dyDescent="0.3">
      <c r="B409" s="33"/>
      <c r="D409" s="63"/>
      <c r="E409" s="63"/>
      <c r="F409" s="33"/>
      <c r="G409" s="30"/>
      <c r="I409" s="32"/>
    </row>
    <row r="410" spans="2:9" x14ac:dyDescent="0.3">
      <c r="B410" s="33"/>
      <c r="D410" s="63"/>
      <c r="E410" s="63"/>
      <c r="F410" s="33"/>
      <c r="G410" s="30"/>
      <c r="I410" s="32"/>
    </row>
    <row r="411" spans="2:9" x14ac:dyDescent="0.3">
      <c r="B411" s="33"/>
      <c r="D411" s="63"/>
      <c r="E411" s="63"/>
      <c r="F411" s="33"/>
      <c r="G411" s="30"/>
      <c r="I411" s="32"/>
    </row>
    <row r="412" spans="2:9" x14ac:dyDescent="0.3">
      <c r="B412" s="33"/>
      <c r="D412" s="63"/>
      <c r="E412" s="63"/>
      <c r="F412" s="33"/>
      <c r="G412" s="30"/>
      <c r="I412" s="32"/>
    </row>
    <row r="413" spans="2:9" x14ac:dyDescent="0.3">
      <c r="B413" s="33"/>
      <c r="D413" s="63"/>
      <c r="E413" s="63"/>
      <c r="F413" s="33"/>
      <c r="G413" s="30"/>
      <c r="I413" s="32"/>
    </row>
    <row r="414" spans="2:9" x14ac:dyDescent="0.3">
      <c r="B414" s="33"/>
      <c r="D414" s="63"/>
      <c r="E414" s="63"/>
      <c r="F414" s="33"/>
      <c r="G414" s="30"/>
      <c r="I414" s="32"/>
    </row>
    <row r="415" spans="2:9" x14ac:dyDescent="0.3">
      <c r="B415" s="33"/>
      <c r="D415" s="63"/>
      <c r="E415" s="63"/>
      <c r="F415" s="33"/>
      <c r="G415" s="30"/>
      <c r="I415" s="32"/>
    </row>
    <row r="416" spans="2:9" x14ac:dyDescent="0.3">
      <c r="B416" s="33"/>
      <c r="D416" s="63"/>
      <c r="E416" s="63"/>
      <c r="F416" s="33"/>
      <c r="G416" s="30"/>
      <c r="I416" s="32"/>
    </row>
    <row r="417" spans="2:9" x14ac:dyDescent="0.3">
      <c r="B417" s="33"/>
      <c r="D417" s="63"/>
      <c r="E417" s="63"/>
      <c r="F417" s="33"/>
      <c r="G417" s="30"/>
      <c r="I417" s="32"/>
    </row>
    <row r="418" spans="2:9" x14ac:dyDescent="0.3">
      <c r="B418" s="33"/>
      <c r="D418" s="63"/>
      <c r="E418" s="63"/>
      <c r="F418" s="33"/>
      <c r="G418" s="30"/>
      <c r="I418" s="32"/>
    </row>
    <row r="419" spans="2:9" x14ac:dyDescent="0.3">
      <c r="B419" s="33"/>
      <c r="D419" s="63"/>
      <c r="E419" s="63"/>
      <c r="F419" s="33"/>
      <c r="G419" s="30"/>
      <c r="I419" s="32"/>
    </row>
    <row r="420" spans="2:9" x14ac:dyDescent="0.3">
      <c r="B420" s="33"/>
      <c r="D420" s="63"/>
      <c r="E420" s="63"/>
      <c r="F420" s="33"/>
      <c r="G420" s="30"/>
      <c r="I420" s="32"/>
    </row>
    <row r="421" spans="2:9" x14ac:dyDescent="0.3">
      <c r="B421" s="33"/>
      <c r="D421" s="63"/>
      <c r="E421" s="63"/>
      <c r="F421" s="33"/>
      <c r="G421" s="30"/>
      <c r="I421" s="32"/>
    </row>
    <row r="422" spans="2:9" x14ac:dyDescent="0.3">
      <c r="B422" s="33"/>
      <c r="D422" s="63"/>
      <c r="E422" s="63"/>
      <c r="F422" s="33"/>
      <c r="G422" s="30"/>
      <c r="I422" s="32"/>
    </row>
    <row r="423" spans="2:9" x14ac:dyDescent="0.3">
      <c r="B423" s="33"/>
      <c r="D423" s="63"/>
      <c r="E423" s="63"/>
      <c r="F423" s="33"/>
      <c r="G423" s="30"/>
      <c r="I423" s="32"/>
    </row>
    <row r="424" spans="2:9" x14ac:dyDescent="0.3">
      <c r="B424" s="33"/>
      <c r="D424" s="63"/>
      <c r="E424" s="63"/>
      <c r="F424" s="33"/>
      <c r="G424" s="30"/>
      <c r="I424" s="32"/>
    </row>
    <row r="425" spans="2:9" x14ac:dyDescent="0.3">
      <c r="B425" s="33"/>
      <c r="D425" s="63"/>
      <c r="E425" s="63"/>
      <c r="F425" s="33"/>
      <c r="G425" s="30"/>
      <c r="I425" s="32"/>
    </row>
    <row r="426" spans="2:9" x14ac:dyDescent="0.3">
      <c r="B426" s="33"/>
      <c r="D426" s="63"/>
      <c r="E426" s="63"/>
      <c r="F426" s="33"/>
      <c r="G426" s="30"/>
      <c r="I426" s="32"/>
    </row>
    <row r="427" spans="2:9" x14ac:dyDescent="0.3">
      <c r="B427" s="33"/>
      <c r="D427" s="63"/>
      <c r="E427" s="63"/>
      <c r="F427" s="33"/>
      <c r="G427" s="30"/>
      <c r="I427" s="32"/>
    </row>
    <row r="428" spans="2:9" x14ac:dyDescent="0.3">
      <c r="B428" s="33"/>
      <c r="D428" s="63"/>
      <c r="E428" s="63"/>
      <c r="F428" s="33"/>
      <c r="G428" s="30"/>
      <c r="I428" s="32"/>
    </row>
    <row r="429" spans="2:9" x14ac:dyDescent="0.3">
      <c r="B429" s="33"/>
      <c r="D429" s="63"/>
      <c r="E429" s="63"/>
      <c r="F429" s="33"/>
      <c r="G429" s="30"/>
      <c r="I429" s="32"/>
    </row>
    <row r="430" spans="2:9" x14ac:dyDescent="0.3">
      <c r="B430" s="33"/>
      <c r="D430" s="63"/>
      <c r="E430" s="63"/>
      <c r="F430" s="33"/>
      <c r="G430" s="30"/>
      <c r="I430" s="32"/>
    </row>
    <row r="431" spans="2:9" x14ac:dyDescent="0.3">
      <c r="B431" s="33"/>
      <c r="D431" s="63"/>
      <c r="E431" s="63"/>
      <c r="F431" s="33"/>
      <c r="G431" s="30"/>
      <c r="I431" s="32"/>
    </row>
    <row r="432" spans="2:9" x14ac:dyDescent="0.3">
      <c r="B432" s="33"/>
      <c r="D432" s="63"/>
      <c r="E432" s="63"/>
      <c r="F432" s="33"/>
      <c r="G432" s="30"/>
      <c r="I432" s="32"/>
    </row>
    <row r="433" spans="2:9" x14ac:dyDescent="0.3">
      <c r="B433" s="33"/>
      <c r="D433" s="63"/>
      <c r="E433" s="63"/>
      <c r="F433" s="33"/>
      <c r="G433" s="30"/>
      <c r="I433" s="32"/>
    </row>
    <row r="434" spans="2:9" x14ac:dyDescent="0.3">
      <c r="B434" s="33"/>
      <c r="D434" s="63"/>
      <c r="E434" s="63"/>
      <c r="F434" s="33"/>
      <c r="G434" s="30"/>
      <c r="I434" s="32"/>
    </row>
    <row r="435" spans="2:9" x14ac:dyDescent="0.3">
      <c r="B435" s="33"/>
      <c r="D435" s="63"/>
      <c r="E435" s="63"/>
      <c r="F435" s="33"/>
      <c r="G435" s="30"/>
      <c r="I435" s="32"/>
    </row>
    <row r="436" spans="2:9" x14ac:dyDescent="0.3">
      <c r="B436" s="33"/>
      <c r="D436" s="63"/>
      <c r="E436" s="63"/>
      <c r="F436" s="33"/>
      <c r="G436" s="30"/>
      <c r="I436" s="32"/>
    </row>
    <row r="437" spans="2:9" x14ac:dyDescent="0.3">
      <c r="B437" s="33"/>
      <c r="D437" s="63"/>
      <c r="E437" s="63"/>
      <c r="F437" s="33"/>
      <c r="G437" s="30"/>
      <c r="I437" s="32"/>
    </row>
    <row r="438" spans="2:9" x14ac:dyDescent="0.3">
      <c r="B438" s="33"/>
      <c r="D438" s="63"/>
      <c r="E438" s="63"/>
      <c r="F438" s="33"/>
      <c r="G438" s="30"/>
      <c r="I438" s="32"/>
    </row>
    <row r="439" spans="2:9" x14ac:dyDescent="0.3">
      <c r="B439" s="33"/>
      <c r="D439" s="63"/>
      <c r="E439" s="63"/>
      <c r="F439" s="33"/>
      <c r="G439" s="30"/>
      <c r="I439" s="32"/>
    </row>
    <row r="440" spans="2:9" x14ac:dyDescent="0.3">
      <c r="B440" s="33"/>
      <c r="D440" s="63"/>
      <c r="E440" s="63"/>
      <c r="F440" s="33"/>
      <c r="G440" s="30"/>
      <c r="I440" s="32"/>
    </row>
    <row r="441" spans="2:9" x14ac:dyDescent="0.3">
      <c r="B441" s="33"/>
      <c r="D441" s="63"/>
      <c r="E441" s="63"/>
      <c r="F441" s="33"/>
      <c r="G441" s="30"/>
      <c r="I441" s="32"/>
    </row>
    <row r="442" spans="2:9" x14ac:dyDescent="0.3">
      <c r="B442" s="33"/>
      <c r="D442" s="63"/>
      <c r="E442" s="63"/>
      <c r="F442" s="33"/>
      <c r="G442" s="30"/>
      <c r="I442" s="32"/>
    </row>
    <row r="443" spans="2:9" x14ac:dyDescent="0.3">
      <c r="B443" s="33"/>
      <c r="D443" s="63"/>
      <c r="E443" s="63"/>
      <c r="F443" s="33"/>
      <c r="G443" s="30"/>
      <c r="I443" s="32"/>
    </row>
    <row r="444" spans="2:9" x14ac:dyDescent="0.3">
      <c r="B444" s="33"/>
      <c r="D444" s="63"/>
      <c r="E444" s="63"/>
      <c r="F444" s="33"/>
      <c r="G444" s="30"/>
      <c r="I444" s="32"/>
    </row>
    <row r="445" spans="2:9" x14ac:dyDescent="0.3">
      <c r="B445" s="33"/>
      <c r="D445" s="63"/>
      <c r="E445" s="63"/>
      <c r="F445" s="33"/>
      <c r="G445" s="30"/>
      <c r="I445" s="32"/>
    </row>
    <row r="446" spans="2:9" x14ac:dyDescent="0.3">
      <c r="B446" s="33"/>
      <c r="D446" s="63"/>
      <c r="E446" s="63"/>
      <c r="F446" s="33"/>
      <c r="G446" s="30"/>
      <c r="I446" s="32"/>
    </row>
    <row r="447" spans="2:9" x14ac:dyDescent="0.3">
      <c r="B447" s="33"/>
      <c r="D447" s="63"/>
      <c r="E447" s="63"/>
      <c r="F447" s="33"/>
      <c r="G447" s="30"/>
      <c r="I447" s="32"/>
    </row>
    <row r="448" spans="2:9" x14ac:dyDescent="0.3">
      <c r="B448" s="33"/>
      <c r="D448" s="63"/>
      <c r="E448" s="63"/>
      <c r="F448" s="33"/>
      <c r="G448" s="30"/>
      <c r="I448" s="32"/>
    </row>
    <row r="449" spans="2:9" x14ac:dyDescent="0.3">
      <c r="B449" s="33"/>
      <c r="D449" s="63"/>
      <c r="E449" s="63"/>
      <c r="F449" s="33"/>
      <c r="G449" s="30"/>
      <c r="I449" s="32"/>
    </row>
    <row r="450" spans="2:9" x14ac:dyDescent="0.3">
      <c r="B450" s="33"/>
      <c r="D450" s="63"/>
      <c r="E450" s="63"/>
      <c r="F450" s="33"/>
      <c r="G450" s="30"/>
      <c r="I450" s="32"/>
    </row>
    <row r="451" spans="2:9" x14ac:dyDescent="0.3">
      <c r="B451" s="33"/>
      <c r="D451" s="63"/>
      <c r="E451" s="63"/>
      <c r="F451" s="33"/>
      <c r="G451" s="30"/>
      <c r="I451" s="32"/>
    </row>
    <row r="452" spans="2:9" x14ac:dyDescent="0.3">
      <c r="B452" s="33"/>
      <c r="D452" s="63"/>
      <c r="E452" s="63"/>
      <c r="F452" s="33"/>
      <c r="G452" s="30"/>
      <c r="I452" s="32"/>
    </row>
    <row r="453" spans="2:9" x14ac:dyDescent="0.3">
      <c r="B453" s="33"/>
      <c r="D453" s="63"/>
      <c r="E453" s="63"/>
      <c r="F453" s="33"/>
      <c r="G453" s="30"/>
      <c r="I453" s="32"/>
    </row>
    <row r="454" spans="2:9" x14ac:dyDescent="0.3">
      <c r="B454" s="33"/>
      <c r="D454" s="63"/>
      <c r="E454" s="63"/>
      <c r="F454" s="33"/>
      <c r="G454" s="30"/>
      <c r="I454" s="32"/>
    </row>
    <row r="455" spans="2:9" x14ac:dyDescent="0.3">
      <c r="B455" s="33"/>
      <c r="D455" s="63"/>
      <c r="E455" s="63"/>
      <c r="F455" s="33"/>
      <c r="G455" s="30"/>
      <c r="I455" s="32"/>
    </row>
    <row r="456" spans="2:9" x14ac:dyDescent="0.3">
      <c r="B456" s="33"/>
      <c r="D456" s="63"/>
      <c r="E456" s="63"/>
      <c r="F456" s="33"/>
      <c r="G456" s="30"/>
      <c r="I456" s="32"/>
    </row>
    <row r="457" spans="2:9" x14ac:dyDescent="0.3">
      <c r="B457" s="33"/>
      <c r="D457" s="63"/>
      <c r="E457" s="63"/>
      <c r="F457" s="33"/>
      <c r="G457" s="30"/>
      <c r="I457" s="32"/>
    </row>
    <row r="458" spans="2:9" x14ac:dyDescent="0.3">
      <c r="B458" s="33"/>
      <c r="D458" s="63"/>
      <c r="E458" s="63"/>
      <c r="F458" s="33"/>
      <c r="G458" s="30"/>
      <c r="I458" s="32"/>
    </row>
    <row r="459" spans="2:9" x14ac:dyDescent="0.3">
      <c r="B459" s="33"/>
      <c r="D459" s="63"/>
      <c r="E459" s="63"/>
      <c r="F459" s="33"/>
      <c r="G459" s="30"/>
      <c r="I459" s="32"/>
    </row>
    <row r="460" spans="2:9" x14ac:dyDescent="0.3">
      <c r="B460" s="33"/>
      <c r="D460" s="63"/>
      <c r="E460" s="63"/>
      <c r="F460" s="33"/>
      <c r="G460" s="30"/>
      <c r="I460" s="32"/>
    </row>
    <row r="461" spans="2:9" x14ac:dyDescent="0.3">
      <c r="B461" s="33"/>
      <c r="D461" s="63"/>
      <c r="E461" s="63"/>
      <c r="F461" s="33"/>
      <c r="G461" s="30"/>
      <c r="I461" s="32"/>
    </row>
    <row r="462" spans="2:9" x14ac:dyDescent="0.3">
      <c r="B462" s="33"/>
      <c r="D462" s="63"/>
      <c r="E462" s="63"/>
      <c r="F462" s="33"/>
      <c r="G462" s="30"/>
      <c r="I462" s="32"/>
    </row>
    <row r="463" spans="2:9" x14ac:dyDescent="0.3">
      <c r="B463" s="33"/>
      <c r="D463" s="63"/>
      <c r="E463" s="63"/>
      <c r="F463" s="33"/>
      <c r="G463" s="30"/>
      <c r="I463" s="32"/>
    </row>
    <row r="464" spans="2:9" x14ac:dyDescent="0.3">
      <c r="B464" s="33"/>
      <c r="D464" s="63"/>
      <c r="E464" s="63"/>
      <c r="F464" s="33"/>
      <c r="G464" s="30"/>
      <c r="I464" s="32"/>
    </row>
    <row r="465" spans="2:9" x14ac:dyDescent="0.3">
      <c r="B465" s="33"/>
      <c r="D465" s="63"/>
      <c r="E465" s="63"/>
      <c r="F465" s="33"/>
      <c r="G465" s="30"/>
      <c r="I465" s="32"/>
    </row>
    <row r="466" spans="2:9" x14ac:dyDescent="0.3">
      <c r="B466" s="33"/>
      <c r="D466" s="63"/>
      <c r="E466" s="63"/>
      <c r="F466" s="33"/>
      <c r="G466" s="30"/>
      <c r="I466" s="32"/>
    </row>
    <row r="467" spans="2:9" x14ac:dyDescent="0.3">
      <c r="B467" s="33"/>
      <c r="D467" s="63"/>
      <c r="E467" s="63"/>
      <c r="F467" s="33"/>
      <c r="G467" s="30"/>
      <c r="I467" s="32"/>
    </row>
    <row r="468" spans="2:9" x14ac:dyDescent="0.3">
      <c r="B468" s="33"/>
      <c r="D468" s="63"/>
      <c r="E468" s="63"/>
      <c r="F468" s="33"/>
      <c r="G468" s="30"/>
      <c r="I468" s="32"/>
    </row>
    <row r="469" spans="2:9" x14ac:dyDescent="0.3">
      <c r="B469" s="33"/>
      <c r="D469" s="63"/>
      <c r="E469" s="63"/>
      <c r="F469" s="33"/>
      <c r="G469" s="30"/>
      <c r="I469" s="32"/>
    </row>
    <row r="470" spans="2:9" x14ac:dyDescent="0.3">
      <c r="B470" s="33"/>
      <c r="D470" s="63"/>
      <c r="E470" s="63"/>
      <c r="F470" s="33"/>
      <c r="G470" s="30"/>
      <c r="I470" s="32"/>
    </row>
    <row r="471" spans="2:9" x14ac:dyDescent="0.3">
      <c r="B471" s="33"/>
      <c r="D471" s="63"/>
      <c r="E471" s="63"/>
      <c r="F471" s="33"/>
      <c r="G471" s="30"/>
      <c r="I471" s="32"/>
    </row>
    <row r="472" spans="2:9" x14ac:dyDescent="0.3">
      <c r="B472" s="33"/>
      <c r="D472" s="63"/>
      <c r="E472" s="63"/>
      <c r="F472" s="33"/>
      <c r="G472" s="30"/>
      <c r="I472" s="32"/>
    </row>
    <row r="473" spans="2:9" x14ac:dyDescent="0.3">
      <c r="B473" s="33"/>
      <c r="D473" s="63"/>
      <c r="E473" s="63"/>
      <c r="F473" s="33"/>
      <c r="G473" s="30"/>
      <c r="I473" s="32"/>
    </row>
    <row r="474" spans="2:9" x14ac:dyDescent="0.3">
      <c r="B474" s="33"/>
      <c r="D474" s="63"/>
      <c r="E474" s="63"/>
      <c r="F474" s="33"/>
      <c r="G474" s="30"/>
      <c r="I474" s="32"/>
    </row>
    <row r="475" spans="2:9" x14ac:dyDescent="0.3">
      <c r="B475" s="33"/>
      <c r="D475" s="63"/>
      <c r="E475" s="63"/>
      <c r="F475" s="33"/>
      <c r="G475" s="30"/>
      <c r="I475" s="32"/>
    </row>
    <row r="476" spans="2:9" x14ac:dyDescent="0.3">
      <c r="B476" s="33"/>
      <c r="D476" s="63"/>
      <c r="E476" s="63"/>
      <c r="F476" s="33"/>
      <c r="G476" s="30"/>
      <c r="I476" s="32"/>
    </row>
    <row r="477" spans="2:9" x14ac:dyDescent="0.3">
      <c r="B477" s="33"/>
      <c r="D477" s="63"/>
      <c r="E477" s="63"/>
      <c r="F477" s="33"/>
      <c r="G477" s="30"/>
      <c r="I477" s="32"/>
    </row>
    <row r="478" spans="2:9" x14ac:dyDescent="0.3">
      <c r="B478" s="33"/>
      <c r="D478" s="63"/>
      <c r="E478" s="63"/>
      <c r="F478" s="33"/>
      <c r="G478" s="30"/>
      <c r="I478" s="32"/>
    </row>
    <row r="479" spans="2:9" x14ac:dyDescent="0.3">
      <c r="B479" s="33"/>
      <c r="D479" s="63"/>
      <c r="E479" s="63"/>
      <c r="F479" s="33"/>
      <c r="G479" s="30"/>
      <c r="I479" s="32"/>
    </row>
    <row r="480" spans="2:9" x14ac:dyDescent="0.3">
      <c r="B480" s="33"/>
      <c r="D480" s="63"/>
      <c r="E480" s="63"/>
      <c r="F480" s="33"/>
      <c r="G480" s="30"/>
      <c r="I480" s="32"/>
    </row>
    <row r="481" spans="2:9" x14ac:dyDescent="0.3">
      <c r="B481" s="33"/>
      <c r="D481" s="63"/>
      <c r="E481" s="63"/>
      <c r="F481" s="33"/>
      <c r="G481" s="30"/>
      <c r="I481" s="32"/>
    </row>
    <row r="482" spans="2:9" x14ac:dyDescent="0.3">
      <c r="B482" s="33"/>
      <c r="D482" s="63"/>
      <c r="E482" s="63"/>
      <c r="F482" s="33"/>
      <c r="G482" s="30"/>
      <c r="I482" s="32"/>
    </row>
    <row r="483" spans="2:9" x14ac:dyDescent="0.3">
      <c r="B483" s="33"/>
      <c r="D483" s="63"/>
      <c r="E483" s="63"/>
      <c r="F483" s="33"/>
      <c r="G483" s="30"/>
      <c r="I483" s="32"/>
    </row>
    <row r="484" spans="2:9" x14ac:dyDescent="0.3">
      <c r="B484" s="33"/>
      <c r="D484" s="63"/>
      <c r="E484" s="63"/>
      <c r="F484" s="33"/>
      <c r="G484" s="30"/>
      <c r="I484" s="32"/>
    </row>
    <row r="485" spans="2:9" x14ac:dyDescent="0.3">
      <c r="B485" s="33"/>
      <c r="D485" s="63"/>
      <c r="E485" s="63"/>
      <c r="F485" s="33"/>
      <c r="G485" s="30"/>
      <c r="I485" s="32"/>
    </row>
    <row r="486" spans="2:9" x14ac:dyDescent="0.3">
      <c r="B486" s="33"/>
      <c r="D486" s="63"/>
      <c r="E486" s="63"/>
      <c r="F486" s="33"/>
      <c r="G486" s="30"/>
      <c r="I486" s="32"/>
    </row>
    <row r="487" spans="2:9" x14ac:dyDescent="0.3">
      <c r="B487" s="33"/>
      <c r="D487" s="63"/>
      <c r="E487" s="63"/>
      <c r="F487" s="33"/>
      <c r="G487" s="30"/>
      <c r="I487" s="32"/>
    </row>
    <row r="488" spans="2:9" x14ac:dyDescent="0.3">
      <c r="B488" s="33"/>
      <c r="D488" s="63"/>
      <c r="E488" s="63"/>
      <c r="F488" s="33"/>
      <c r="G488" s="30"/>
      <c r="I488" s="32"/>
    </row>
    <row r="489" spans="2:9" x14ac:dyDescent="0.3">
      <c r="B489" s="33"/>
      <c r="D489" s="63"/>
      <c r="E489" s="63"/>
      <c r="F489" s="33"/>
      <c r="G489" s="30"/>
      <c r="I489" s="32"/>
    </row>
    <row r="490" spans="2:9" x14ac:dyDescent="0.3">
      <c r="B490" s="33"/>
      <c r="D490" s="63"/>
      <c r="E490" s="63"/>
      <c r="F490" s="33"/>
      <c r="G490" s="30"/>
      <c r="I490" s="32"/>
    </row>
    <row r="491" spans="2:9" x14ac:dyDescent="0.3">
      <c r="B491" s="33"/>
      <c r="D491" s="63"/>
      <c r="E491" s="63"/>
      <c r="F491" s="33"/>
      <c r="G491" s="30"/>
      <c r="I491" s="32"/>
    </row>
    <row r="492" spans="2:9" x14ac:dyDescent="0.3">
      <c r="B492" s="33"/>
      <c r="D492" s="63"/>
      <c r="E492" s="63"/>
      <c r="F492" s="33"/>
      <c r="G492" s="30"/>
      <c r="I492" s="32"/>
    </row>
    <row r="493" spans="2:9" x14ac:dyDescent="0.3">
      <c r="B493" s="33"/>
      <c r="D493" s="63"/>
      <c r="E493" s="63"/>
      <c r="F493" s="33"/>
      <c r="G493" s="30"/>
      <c r="I493" s="32"/>
    </row>
    <row r="494" spans="2:9" x14ac:dyDescent="0.3">
      <c r="B494" s="33"/>
      <c r="D494" s="63"/>
      <c r="E494" s="63"/>
      <c r="F494" s="33"/>
      <c r="G494" s="30"/>
      <c r="I494" s="32"/>
    </row>
    <row r="495" spans="2:9" x14ac:dyDescent="0.3">
      <c r="B495" s="33"/>
      <c r="D495" s="63"/>
      <c r="E495" s="63"/>
      <c r="F495" s="33"/>
      <c r="G495" s="30"/>
      <c r="I495" s="32"/>
    </row>
    <row r="496" spans="2:9" x14ac:dyDescent="0.3">
      <c r="B496" s="33"/>
      <c r="D496" s="63"/>
      <c r="E496" s="63"/>
      <c r="F496" s="33"/>
      <c r="G496" s="30"/>
      <c r="I496" s="32"/>
    </row>
    <row r="497" spans="2:9" x14ac:dyDescent="0.3">
      <c r="B497" s="33"/>
      <c r="D497" s="63"/>
      <c r="E497" s="63"/>
      <c r="F497" s="33"/>
      <c r="G497" s="30"/>
      <c r="I497" s="32"/>
    </row>
    <row r="498" spans="2:9" x14ac:dyDescent="0.3">
      <c r="B498" s="33"/>
      <c r="D498" s="63"/>
      <c r="E498" s="63"/>
      <c r="F498" s="33"/>
      <c r="G498" s="30"/>
      <c r="I498" s="32"/>
    </row>
    <row r="499" spans="2:9" x14ac:dyDescent="0.3">
      <c r="B499" s="33"/>
      <c r="D499" s="63"/>
      <c r="E499" s="63"/>
      <c r="F499" s="33"/>
      <c r="G499" s="30"/>
      <c r="I499" s="32"/>
    </row>
    <row r="500" spans="2:9" x14ac:dyDescent="0.3">
      <c r="B500" s="33"/>
      <c r="D500" s="63"/>
      <c r="E500" s="63"/>
      <c r="F500" s="33"/>
      <c r="G500" s="30"/>
      <c r="I500" s="32"/>
    </row>
    <row r="501" spans="2:9" x14ac:dyDescent="0.3">
      <c r="B501" s="33"/>
      <c r="D501" s="63"/>
      <c r="E501" s="63"/>
      <c r="F501" s="33"/>
      <c r="G501" s="30"/>
      <c r="I501" s="32"/>
    </row>
    <row r="502" spans="2:9" x14ac:dyDescent="0.3">
      <c r="B502" s="33"/>
      <c r="D502" s="63"/>
      <c r="E502" s="63"/>
      <c r="F502" s="33"/>
      <c r="G502" s="30"/>
      <c r="I502" s="32"/>
    </row>
    <row r="503" spans="2:9" x14ac:dyDescent="0.3">
      <c r="B503" s="33"/>
      <c r="D503" s="63"/>
      <c r="E503" s="63"/>
      <c r="F503" s="33"/>
      <c r="G503" s="30"/>
      <c r="I503" s="32"/>
    </row>
    <row r="504" spans="2:9" x14ac:dyDescent="0.3">
      <c r="B504" s="33"/>
      <c r="D504" s="63"/>
      <c r="E504" s="63"/>
      <c r="F504" s="33"/>
      <c r="G504" s="30"/>
      <c r="I504" s="32"/>
    </row>
    <row r="505" spans="2:9" x14ac:dyDescent="0.3">
      <c r="B505" s="33"/>
      <c r="D505" s="63"/>
      <c r="E505" s="63"/>
      <c r="F505" s="33"/>
      <c r="G505" s="30"/>
      <c r="I505" s="32"/>
    </row>
    <row r="506" spans="2:9" x14ac:dyDescent="0.3">
      <c r="B506" s="33"/>
      <c r="D506" s="63"/>
      <c r="E506" s="63"/>
      <c r="F506" s="33"/>
      <c r="G506" s="30"/>
      <c r="I506" s="32"/>
    </row>
    <row r="507" spans="2:9" x14ac:dyDescent="0.3">
      <c r="B507" s="33"/>
      <c r="D507" s="63"/>
      <c r="E507" s="63"/>
      <c r="F507" s="33"/>
      <c r="G507" s="30"/>
      <c r="I507" s="32"/>
    </row>
    <row r="508" spans="2:9" x14ac:dyDescent="0.3">
      <c r="B508" s="33"/>
      <c r="D508" s="63"/>
      <c r="E508" s="63"/>
      <c r="F508" s="33"/>
      <c r="G508" s="30"/>
      <c r="I508" s="32"/>
    </row>
    <row r="509" spans="2:9" x14ac:dyDescent="0.3">
      <c r="B509" s="33"/>
      <c r="D509" s="63"/>
      <c r="E509" s="63"/>
      <c r="F509" s="33"/>
      <c r="G509" s="30"/>
      <c r="I509" s="32"/>
    </row>
    <row r="510" spans="2:9" x14ac:dyDescent="0.3">
      <c r="B510" s="33"/>
      <c r="D510" s="63"/>
      <c r="E510" s="63"/>
      <c r="F510" s="33"/>
      <c r="G510" s="30"/>
      <c r="I510" s="32"/>
    </row>
    <row r="511" spans="2:9" x14ac:dyDescent="0.3">
      <c r="B511" s="33"/>
      <c r="D511" s="63"/>
      <c r="E511" s="63"/>
      <c r="F511" s="33"/>
      <c r="G511" s="30"/>
      <c r="I511" s="32"/>
    </row>
    <row r="512" spans="2:9" x14ac:dyDescent="0.3">
      <c r="B512" s="33"/>
      <c r="D512" s="63"/>
      <c r="E512" s="63"/>
      <c r="F512" s="33"/>
      <c r="G512" s="30"/>
      <c r="I512" s="32"/>
    </row>
    <row r="513" spans="2:9" x14ac:dyDescent="0.3">
      <c r="B513" s="33"/>
      <c r="D513" s="63"/>
      <c r="E513" s="63"/>
      <c r="F513" s="33"/>
      <c r="G513" s="30"/>
      <c r="I513" s="32"/>
    </row>
    <row r="514" spans="2:9" x14ac:dyDescent="0.3">
      <c r="B514" s="33"/>
      <c r="D514" s="63"/>
      <c r="E514" s="63"/>
      <c r="F514" s="33"/>
      <c r="G514" s="30"/>
      <c r="I514" s="32"/>
    </row>
    <row r="515" spans="2:9" x14ac:dyDescent="0.3">
      <c r="B515" s="33"/>
      <c r="D515" s="63"/>
      <c r="E515" s="63"/>
      <c r="F515" s="33"/>
      <c r="G515" s="30"/>
      <c r="I515" s="32"/>
    </row>
    <row r="516" spans="2:9" x14ac:dyDescent="0.3">
      <c r="B516" s="33"/>
      <c r="D516" s="63"/>
      <c r="E516" s="63"/>
      <c r="F516" s="33"/>
      <c r="G516" s="30"/>
      <c r="I516" s="32"/>
    </row>
    <row r="517" spans="2:9" x14ac:dyDescent="0.3">
      <c r="B517" s="33"/>
      <c r="D517" s="63"/>
      <c r="E517" s="63"/>
      <c r="F517" s="33"/>
      <c r="G517" s="30"/>
      <c r="I517" s="32"/>
    </row>
    <row r="518" spans="2:9" x14ac:dyDescent="0.3">
      <c r="B518" s="33"/>
      <c r="D518" s="63"/>
      <c r="E518" s="63"/>
      <c r="F518" s="33"/>
      <c r="G518" s="30"/>
      <c r="I518" s="32"/>
    </row>
    <row r="519" spans="2:9" x14ac:dyDescent="0.3">
      <c r="B519" s="33"/>
      <c r="D519" s="63"/>
      <c r="E519" s="63"/>
      <c r="F519" s="33"/>
      <c r="G519" s="30"/>
      <c r="I519" s="32"/>
    </row>
    <row r="520" spans="2:9" x14ac:dyDescent="0.3">
      <c r="B520" s="33"/>
      <c r="D520" s="63"/>
      <c r="E520" s="63"/>
      <c r="F520" s="33"/>
      <c r="G520" s="30"/>
      <c r="I520" s="32"/>
    </row>
    <row r="521" spans="2:9" x14ac:dyDescent="0.3">
      <c r="B521" s="33"/>
      <c r="D521" s="63"/>
      <c r="E521" s="63"/>
      <c r="F521" s="33"/>
      <c r="G521" s="30"/>
      <c r="I521" s="32"/>
    </row>
    <row r="522" spans="2:9" x14ac:dyDescent="0.3">
      <c r="B522" s="33"/>
      <c r="D522" s="63"/>
      <c r="E522" s="63"/>
      <c r="F522" s="33"/>
      <c r="G522" s="30"/>
      <c r="I522" s="32"/>
    </row>
    <row r="523" spans="2:9" x14ac:dyDescent="0.3">
      <c r="B523" s="33"/>
      <c r="D523" s="63"/>
      <c r="E523" s="63"/>
      <c r="F523" s="33"/>
      <c r="G523" s="30"/>
      <c r="I523" s="32"/>
    </row>
    <row r="524" spans="2:9" x14ac:dyDescent="0.3">
      <c r="B524" s="33"/>
      <c r="D524" s="63"/>
      <c r="E524" s="63"/>
      <c r="F524" s="33"/>
      <c r="G524" s="30"/>
      <c r="I524" s="32"/>
    </row>
    <row r="525" spans="2:9" x14ac:dyDescent="0.3">
      <c r="B525" s="33"/>
      <c r="D525" s="63"/>
      <c r="E525" s="63"/>
      <c r="F525" s="33"/>
      <c r="G525" s="30"/>
      <c r="I525" s="32"/>
    </row>
    <row r="526" spans="2:9" x14ac:dyDescent="0.3">
      <c r="B526" s="33"/>
      <c r="D526" s="63"/>
      <c r="E526" s="63"/>
      <c r="F526" s="33"/>
      <c r="G526" s="30"/>
      <c r="I526" s="32"/>
    </row>
    <row r="527" spans="2:9" x14ac:dyDescent="0.3">
      <c r="B527" s="33"/>
      <c r="D527" s="63"/>
      <c r="E527" s="63"/>
      <c r="F527" s="33"/>
      <c r="G527" s="30"/>
      <c r="I527" s="32"/>
    </row>
    <row r="528" spans="2:9" x14ac:dyDescent="0.3">
      <c r="B528" s="33"/>
      <c r="D528" s="63"/>
      <c r="E528" s="63"/>
      <c r="F528" s="33"/>
      <c r="G528" s="30"/>
      <c r="I528" s="32"/>
    </row>
    <row r="529" spans="2:9" x14ac:dyDescent="0.3">
      <c r="B529" s="33"/>
      <c r="D529" s="63"/>
      <c r="E529" s="63"/>
      <c r="F529" s="33"/>
      <c r="G529" s="30"/>
      <c r="I529" s="32"/>
    </row>
    <row r="530" spans="2:9" x14ac:dyDescent="0.3">
      <c r="B530" s="33"/>
      <c r="D530" s="63"/>
      <c r="E530" s="63"/>
      <c r="F530" s="33"/>
      <c r="G530" s="30"/>
      <c r="I530" s="32"/>
    </row>
    <row r="531" spans="2:9" x14ac:dyDescent="0.3">
      <c r="B531" s="33"/>
      <c r="D531" s="63"/>
      <c r="E531" s="63"/>
      <c r="F531" s="33"/>
      <c r="G531" s="30"/>
      <c r="I531" s="32"/>
    </row>
    <row r="532" spans="2:9" x14ac:dyDescent="0.3">
      <c r="B532" s="33"/>
      <c r="D532" s="63"/>
      <c r="E532" s="63"/>
      <c r="F532" s="33"/>
      <c r="G532" s="30"/>
      <c r="I532" s="32"/>
    </row>
    <row r="533" spans="2:9" x14ac:dyDescent="0.3">
      <c r="B533" s="33"/>
      <c r="D533" s="63"/>
      <c r="E533" s="63"/>
      <c r="F533" s="33"/>
      <c r="G533" s="30"/>
      <c r="I533" s="32"/>
    </row>
    <row r="534" spans="2:9" x14ac:dyDescent="0.3">
      <c r="B534" s="33"/>
      <c r="D534" s="63"/>
      <c r="E534" s="63"/>
      <c r="F534" s="33"/>
      <c r="G534" s="30"/>
      <c r="I534" s="32"/>
    </row>
    <row r="535" spans="2:9" x14ac:dyDescent="0.3">
      <c r="B535" s="33"/>
      <c r="D535" s="63"/>
      <c r="E535" s="63"/>
      <c r="F535" s="33"/>
      <c r="G535" s="30"/>
      <c r="I535" s="32"/>
    </row>
    <row r="536" spans="2:9" x14ac:dyDescent="0.3">
      <c r="B536" s="33"/>
      <c r="D536" s="63"/>
      <c r="E536" s="63"/>
      <c r="F536" s="33"/>
      <c r="G536" s="30"/>
      <c r="I536" s="32"/>
    </row>
    <row r="537" spans="2:9" x14ac:dyDescent="0.3">
      <c r="B537" s="33"/>
      <c r="D537" s="63"/>
      <c r="E537" s="63"/>
      <c r="F537" s="33"/>
      <c r="G537" s="30"/>
      <c r="I537" s="32"/>
    </row>
    <row r="538" spans="2:9" x14ac:dyDescent="0.3">
      <c r="B538" s="33"/>
      <c r="D538" s="63"/>
      <c r="E538" s="63"/>
      <c r="F538" s="33"/>
      <c r="G538" s="30"/>
      <c r="I538" s="32"/>
    </row>
    <row r="539" spans="2:9" x14ac:dyDescent="0.3">
      <c r="B539" s="33"/>
      <c r="D539" s="63"/>
      <c r="E539" s="63"/>
      <c r="F539" s="33"/>
      <c r="G539" s="30"/>
      <c r="I539" s="32"/>
    </row>
    <row r="540" spans="2:9" x14ac:dyDescent="0.3">
      <c r="B540" s="33"/>
      <c r="D540" s="63"/>
      <c r="E540" s="63"/>
      <c r="F540" s="33"/>
      <c r="G540" s="30"/>
      <c r="I540" s="32"/>
    </row>
    <row r="541" spans="2:9" x14ac:dyDescent="0.3">
      <c r="B541" s="33"/>
      <c r="D541" s="63"/>
      <c r="E541" s="63"/>
      <c r="F541" s="33"/>
      <c r="G541" s="30"/>
      <c r="I541" s="32"/>
    </row>
    <row r="542" spans="2:9" x14ac:dyDescent="0.3">
      <c r="B542" s="33"/>
      <c r="D542" s="63"/>
      <c r="E542" s="63"/>
      <c r="F542" s="33"/>
      <c r="G542" s="30"/>
      <c r="I542" s="32"/>
    </row>
    <row r="543" spans="2:9" x14ac:dyDescent="0.3">
      <c r="B543" s="33"/>
      <c r="D543" s="63"/>
      <c r="E543" s="63"/>
      <c r="F543" s="33"/>
      <c r="G543" s="30"/>
      <c r="I543" s="32"/>
    </row>
    <row r="544" spans="2:9" x14ac:dyDescent="0.3">
      <c r="B544" s="33"/>
      <c r="D544" s="63"/>
      <c r="E544" s="63"/>
      <c r="F544" s="33"/>
      <c r="G544" s="30"/>
      <c r="I544" s="32"/>
    </row>
    <row r="545" spans="2:9" x14ac:dyDescent="0.3">
      <c r="B545" s="33"/>
      <c r="D545" s="63"/>
      <c r="E545" s="63"/>
      <c r="F545" s="33"/>
      <c r="G545" s="30"/>
      <c r="I545" s="32"/>
    </row>
    <row r="546" spans="2:9" x14ac:dyDescent="0.3">
      <c r="B546" s="33"/>
      <c r="D546" s="63"/>
      <c r="E546" s="63"/>
      <c r="F546" s="33"/>
      <c r="G546" s="30"/>
      <c r="I546" s="32"/>
    </row>
    <row r="547" spans="2:9" x14ac:dyDescent="0.3">
      <c r="B547" s="33"/>
      <c r="D547" s="63"/>
      <c r="E547" s="63"/>
      <c r="F547" s="33"/>
      <c r="G547" s="30"/>
      <c r="I547" s="32"/>
    </row>
    <row r="548" spans="2:9" x14ac:dyDescent="0.3">
      <c r="B548" s="33"/>
      <c r="D548" s="63"/>
      <c r="E548" s="63"/>
      <c r="F548" s="33"/>
      <c r="G548" s="30"/>
      <c r="I548" s="32"/>
    </row>
    <row r="549" spans="2:9" x14ac:dyDescent="0.3">
      <c r="B549" s="33"/>
      <c r="D549" s="63"/>
      <c r="E549" s="63"/>
      <c r="F549" s="33"/>
      <c r="G549" s="30"/>
      <c r="I549" s="32"/>
    </row>
    <row r="550" spans="2:9" x14ac:dyDescent="0.3">
      <c r="B550" s="33"/>
      <c r="D550" s="63"/>
      <c r="E550" s="63"/>
      <c r="F550" s="33"/>
      <c r="G550" s="30"/>
      <c r="I550" s="32"/>
    </row>
    <row r="551" spans="2:9" x14ac:dyDescent="0.3">
      <c r="B551" s="33"/>
      <c r="D551" s="63"/>
      <c r="E551" s="63"/>
      <c r="F551" s="33"/>
      <c r="G551" s="30"/>
      <c r="I551" s="32"/>
    </row>
    <row r="552" spans="2:9" x14ac:dyDescent="0.3">
      <c r="B552" s="33"/>
      <c r="D552" s="63"/>
      <c r="E552" s="63"/>
      <c r="F552" s="33"/>
      <c r="G552" s="30"/>
      <c r="I552" s="32"/>
    </row>
    <row r="553" spans="2:9" x14ac:dyDescent="0.3">
      <c r="B553" s="33"/>
      <c r="D553" s="63"/>
      <c r="E553" s="63"/>
      <c r="F553" s="33"/>
      <c r="G553" s="30"/>
      <c r="I553" s="32"/>
    </row>
    <row r="554" spans="2:9" x14ac:dyDescent="0.3">
      <c r="B554" s="33"/>
      <c r="D554" s="63"/>
      <c r="E554" s="63"/>
      <c r="F554" s="33"/>
      <c r="G554" s="30"/>
      <c r="I554" s="32"/>
    </row>
    <row r="555" spans="2:9" x14ac:dyDescent="0.3">
      <c r="B555" s="33"/>
      <c r="D555" s="63"/>
      <c r="E555" s="63"/>
      <c r="F555" s="33"/>
      <c r="G555" s="30"/>
      <c r="I555" s="32"/>
    </row>
    <row r="556" spans="2:9" x14ac:dyDescent="0.3">
      <c r="B556" s="33"/>
      <c r="D556" s="63"/>
      <c r="E556" s="63"/>
      <c r="F556" s="33"/>
      <c r="G556" s="30"/>
      <c r="I556" s="32"/>
    </row>
    <row r="557" spans="2:9" x14ac:dyDescent="0.3">
      <c r="B557" s="33"/>
      <c r="D557" s="63"/>
      <c r="E557" s="63"/>
      <c r="F557" s="33"/>
      <c r="G557" s="30"/>
      <c r="I557" s="32"/>
    </row>
    <row r="558" spans="2:9" x14ac:dyDescent="0.3">
      <c r="B558" s="33"/>
      <c r="D558" s="63"/>
      <c r="E558" s="63"/>
      <c r="F558" s="33"/>
      <c r="G558" s="30"/>
      <c r="I558" s="32"/>
    </row>
    <row r="559" spans="2:9" x14ac:dyDescent="0.3">
      <c r="B559" s="33"/>
      <c r="D559" s="63"/>
      <c r="E559" s="63"/>
      <c r="F559" s="33"/>
      <c r="G559" s="30"/>
      <c r="I559" s="32"/>
    </row>
    <row r="560" spans="2:9" x14ac:dyDescent="0.3">
      <c r="B560" s="33"/>
      <c r="D560" s="63"/>
      <c r="E560" s="63"/>
      <c r="F560" s="33"/>
      <c r="G560" s="30"/>
      <c r="I560" s="32"/>
    </row>
    <row r="561" spans="2:9" x14ac:dyDescent="0.3">
      <c r="B561" s="33"/>
      <c r="D561" s="63"/>
      <c r="E561" s="63"/>
      <c r="F561" s="33"/>
      <c r="G561" s="30"/>
      <c r="I561" s="32"/>
    </row>
    <row r="562" spans="2:9" x14ac:dyDescent="0.3">
      <c r="B562" s="33"/>
      <c r="D562" s="63"/>
      <c r="E562" s="63"/>
      <c r="F562" s="33"/>
      <c r="G562" s="30"/>
      <c r="I562" s="32"/>
    </row>
    <row r="563" spans="2:9" x14ac:dyDescent="0.3">
      <c r="B563" s="33"/>
      <c r="D563" s="63"/>
      <c r="E563" s="63"/>
      <c r="F563" s="33"/>
      <c r="G563" s="30"/>
      <c r="I563" s="32"/>
    </row>
    <row r="564" spans="2:9" x14ac:dyDescent="0.3">
      <c r="B564" s="33"/>
      <c r="D564" s="63"/>
      <c r="E564" s="63"/>
      <c r="F564" s="33"/>
      <c r="G564" s="30"/>
      <c r="I564" s="32"/>
    </row>
    <row r="565" spans="2:9" x14ac:dyDescent="0.3">
      <c r="B565" s="33"/>
      <c r="D565" s="63"/>
      <c r="E565" s="63"/>
      <c r="F565" s="33"/>
      <c r="G565" s="30"/>
      <c r="I565" s="32"/>
    </row>
    <row r="566" spans="2:9" x14ac:dyDescent="0.3">
      <c r="B566" s="33"/>
      <c r="D566" s="63"/>
      <c r="E566" s="63"/>
      <c r="F566" s="33"/>
      <c r="G566" s="30"/>
      <c r="I566" s="32"/>
    </row>
    <row r="567" spans="2:9" x14ac:dyDescent="0.3">
      <c r="B567" s="33"/>
      <c r="D567" s="63"/>
      <c r="E567" s="63"/>
      <c r="F567" s="33"/>
      <c r="G567" s="30"/>
      <c r="I567" s="32"/>
    </row>
    <row r="568" spans="2:9" x14ac:dyDescent="0.3">
      <c r="B568" s="33"/>
      <c r="D568" s="63"/>
      <c r="E568" s="63"/>
      <c r="F568" s="33"/>
      <c r="G568" s="30"/>
      <c r="I568" s="32"/>
    </row>
    <row r="569" spans="2:9" x14ac:dyDescent="0.3">
      <c r="B569" s="33"/>
      <c r="D569" s="63"/>
      <c r="E569" s="63"/>
      <c r="F569" s="33"/>
      <c r="G569" s="30"/>
      <c r="I569" s="32"/>
    </row>
    <row r="570" spans="2:9" x14ac:dyDescent="0.3">
      <c r="B570" s="33"/>
      <c r="D570" s="63"/>
      <c r="E570" s="63"/>
      <c r="F570" s="33"/>
      <c r="G570" s="30"/>
      <c r="I570" s="32"/>
    </row>
    <row r="571" spans="2:9" x14ac:dyDescent="0.3">
      <c r="B571" s="33"/>
      <c r="D571" s="63"/>
      <c r="E571" s="63"/>
      <c r="F571" s="33"/>
      <c r="G571" s="30"/>
      <c r="I571" s="32"/>
    </row>
    <row r="572" spans="2:9" x14ac:dyDescent="0.3">
      <c r="B572" s="33"/>
      <c r="D572" s="63"/>
      <c r="E572" s="63"/>
      <c r="F572" s="33"/>
      <c r="G572" s="30"/>
      <c r="I572" s="32"/>
    </row>
    <row r="573" spans="2:9" x14ac:dyDescent="0.3">
      <c r="B573" s="33"/>
      <c r="D573" s="63"/>
      <c r="E573" s="63"/>
      <c r="F573" s="33"/>
      <c r="G573" s="30"/>
      <c r="I573" s="32"/>
    </row>
    <row r="574" spans="2:9" x14ac:dyDescent="0.3">
      <c r="B574" s="33"/>
      <c r="D574" s="63"/>
      <c r="E574" s="63"/>
      <c r="F574" s="33"/>
      <c r="G574" s="30"/>
      <c r="I574" s="32"/>
    </row>
    <row r="575" spans="2:9" x14ac:dyDescent="0.3">
      <c r="B575" s="33"/>
      <c r="D575" s="63"/>
      <c r="E575" s="63"/>
      <c r="F575" s="33"/>
      <c r="G575" s="30"/>
      <c r="I575" s="32"/>
    </row>
    <row r="576" spans="2:9" x14ac:dyDescent="0.3">
      <c r="B576" s="33"/>
      <c r="D576" s="63"/>
      <c r="E576" s="63"/>
      <c r="F576" s="33"/>
      <c r="G576" s="30"/>
      <c r="I576" s="32"/>
    </row>
    <row r="577" spans="2:9" x14ac:dyDescent="0.3">
      <c r="B577" s="33"/>
      <c r="D577" s="63"/>
      <c r="E577" s="63"/>
      <c r="F577" s="33"/>
      <c r="G577" s="30"/>
      <c r="I577" s="32"/>
    </row>
    <row r="578" spans="2:9" x14ac:dyDescent="0.3">
      <c r="B578" s="33"/>
      <c r="D578" s="63"/>
      <c r="E578" s="63"/>
      <c r="F578" s="33"/>
      <c r="G578" s="30"/>
      <c r="I578" s="32"/>
    </row>
    <row r="579" spans="2:9" x14ac:dyDescent="0.3">
      <c r="B579" s="33"/>
      <c r="D579" s="63"/>
      <c r="E579" s="63"/>
      <c r="F579" s="33"/>
      <c r="G579" s="30"/>
      <c r="I579" s="32"/>
    </row>
    <row r="580" spans="2:9" x14ac:dyDescent="0.3">
      <c r="B580" s="33"/>
      <c r="D580" s="63"/>
      <c r="E580" s="63"/>
      <c r="F580" s="33"/>
      <c r="G580" s="30"/>
      <c r="I580" s="32"/>
    </row>
    <row r="581" spans="2:9" x14ac:dyDescent="0.3">
      <c r="B581" s="33"/>
      <c r="D581" s="63"/>
      <c r="E581" s="63"/>
      <c r="F581" s="33"/>
      <c r="G581" s="30"/>
      <c r="I581" s="32"/>
    </row>
    <row r="582" spans="2:9" x14ac:dyDescent="0.3">
      <c r="B582" s="33"/>
      <c r="D582" s="63"/>
      <c r="E582" s="63"/>
      <c r="F582" s="33"/>
      <c r="G582" s="30"/>
      <c r="I582" s="32"/>
    </row>
    <row r="583" spans="2:9" x14ac:dyDescent="0.3">
      <c r="B583" s="33"/>
      <c r="D583" s="63"/>
      <c r="E583" s="63"/>
      <c r="F583" s="33"/>
      <c r="G583" s="30"/>
      <c r="I583" s="32"/>
    </row>
    <row r="584" spans="2:9" x14ac:dyDescent="0.3">
      <c r="B584" s="33"/>
      <c r="D584" s="63"/>
      <c r="E584" s="63"/>
      <c r="F584" s="33"/>
      <c r="G584" s="30"/>
      <c r="I584" s="32"/>
    </row>
    <row r="585" spans="2:9" x14ac:dyDescent="0.3">
      <c r="B585" s="33"/>
      <c r="D585" s="63"/>
      <c r="E585" s="63"/>
      <c r="F585" s="33"/>
      <c r="G585" s="30"/>
      <c r="I585" s="32"/>
    </row>
    <row r="586" spans="2:9" x14ac:dyDescent="0.3">
      <c r="B586" s="33"/>
      <c r="D586" s="63"/>
      <c r="E586" s="63"/>
      <c r="F586" s="33"/>
      <c r="G586" s="30"/>
      <c r="I586" s="32"/>
    </row>
    <row r="587" spans="2:9" x14ac:dyDescent="0.3">
      <c r="B587" s="33"/>
      <c r="D587" s="63"/>
      <c r="E587" s="63"/>
      <c r="F587" s="33"/>
      <c r="G587" s="30"/>
      <c r="I587" s="32"/>
    </row>
    <row r="588" spans="2:9" x14ac:dyDescent="0.3">
      <c r="B588" s="33"/>
      <c r="D588" s="63"/>
      <c r="E588" s="63"/>
      <c r="F588" s="33"/>
      <c r="G588" s="30"/>
      <c r="I588" s="32"/>
    </row>
    <row r="589" spans="2:9" x14ac:dyDescent="0.3">
      <c r="B589" s="33"/>
      <c r="D589" s="63"/>
      <c r="E589" s="63"/>
      <c r="F589" s="33"/>
      <c r="G589" s="30"/>
      <c r="I589" s="32"/>
    </row>
    <row r="590" spans="2:9" x14ac:dyDescent="0.3">
      <c r="B590" s="33"/>
      <c r="D590" s="63"/>
      <c r="E590" s="63"/>
      <c r="F590" s="33"/>
      <c r="G590" s="30"/>
      <c r="I590" s="32"/>
    </row>
    <row r="591" spans="2:9" x14ac:dyDescent="0.3">
      <c r="B591" s="33"/>
      <c r="D591" s="63"/>
      <c r="E591" s="63"/>
      <c r="F591" s="33"/>
      <c r="G591" s="30"/>
      <c r="I591" s="32"/>
    </row>
    <row r="592" spans="2:9" x14ac:dyDescent="0.3">
      <c r="B592" s="33"/>
      <c r="D592" s="63"/>
      <c r="E592" s="63"/>
      <c r="F592" s="33"/>
      <c r="G592" s="30"/>
      <c r="I592" s="32"/>
    </row>
    <row r="593" spans="2:9" x14ac:dyDescent="0.3">
      <c r="B593" s="33"/>
      <c r="D593" s="63"/>
      <c r="E593" s="63"/>
      <c r="F593" s="33"/>
      <c r="G593" s="30"/>
      <c r="I593" s="32"/>
    </row>
    <row r="594" spans="2:9" x14ac:dyDescent="0.3">
      <c r="B594" s="33"/>
      <c r="D594" s="63"/>
      <c r="E594" s="63"/>
      <c r="F594" s="33"/>
      <c r="G594" s="30"/>
      <c r="I594" s="32"/>
    </row>
    <row r="595" spans="2:9" x14ac:dyDescent="0.3">
      <c r="B595" s="33"/>
      <c r="D595" s="63"/>
      <c r="E595" s="63"/>
      <c r="F595" s="33"/>
      <c r="G595" s="30"/>
      <c r="I595" s="32"/>
    </row>
    <row r="596" spans="2:9" x14ac:dyDescent="0.3">
      <c r="B596" s="33"/>
      <c r="D596" s="63"/>
      <c r="E596" s="63"/>
      <c r="F596" s="33"/>
      <c r="G596" s="30"/>
      <c r="I596" s="32"/>
    </row>
    <row r="597" spans="2:9" x14ac:dyDescent="0.3">
      <c r="B597" s="33"/>
      <c r="D597" s="63"/>
      <c r="E597" s="63"/>
      <c r="F597" s="33"/>
      <c r="G597" s="30"/>
      <c r="I597" s="32"/>
    </row>
    <row r="598" spans="2:9" x14ac:dyDescent="0.3">
      <c r="B598" s="33"/>
      <c r="D598" s="63"/>
      <c r="E598" s="63"/>
      <c r="F598" s="33"/>
      <c r="G598" s="30"/>
      <c r="I598" s="32"/>
    </row>
    <row r="599" spans="2:9" x14ac:dyDescent="0.3">
      <c r="B599" s="33"/>
      <c r="D599" s="63"/>
      <c r="E599" s="63"/>
      <c r="F599" s="33"/>
      <c r="G599" s="30"/>
      <c r="I599" s="32"/>
    </row>
    <row r="600" spans="2:9" x14ac:dyDescent="0.3">
      <c r="B600" s="33"/>
      <c r="D600" s="63"/>
      <c r="E600" s="63"/>
      <c r="F600" s="33"/>
      <c r="G600" s="30"/>
      <c r="I600" s="32"/>
    </row>
    <row r="601" spans="2:9" x14ac:dyDescent="0.3">
      <c r="B601" s="33"/>
      <c r="D601" s="63"/>
      <c r="E601" s="63"/>
      <c r="F601" s="33"/>
      <c r="G601" s="30"/>
      <c r="I601" s="32"/>
    </row>
    <row r="602" spans="2:9" x14ac:dyDescent="0.3">
      <c r="B602" s="33"/>
      <c r="D602" s="63"/>
      <c r="E602" s="63"/>
      <c r="F602" s="33"/>
      <c r="G602" s="30"/>
      <c r="I602" s="32"/>
    </row>
    <row r="603" spans="2:9" x14ac:dyDescent="0.3">
      <c r="B603" s="33"/>
      <c r="D603" s="63"/>
      <c r="E603" s="63"/>
      <c r="F603" s="33"/>
      <c r="G603" s="30"/>
      <c r="I603" s="32"/>
    </row>
    <row r="604" spans="2:9" x14ac:dyDescent="0.3">
      <c r="B604" s="33"/>
      <c r="D604" s="63"/>
      <c r="E604" s="63"/>
      <c r="F604" s="33"/>
      <c r="G604" s="30"/>
      <c r="I604" s="32"/>
    </row>
    <row r="605" spans="2:9" x14ac:dyDescent="0.3">
      <c r="B605" s="33"/>
      <c r="D605" s="63"/>
      <c r="E605" s="63"/>
      <c r="F605" s="33"/>
      <c r="G605" s="30"/>
      <c r="I605" s="32"/>
    </row>
    <row r="606" spans="2:9" x14ac:dyDescent="0.3">
      <c r="B606" s="33"/>
      <c r="D606" s="63"/>
      <c r="E606" s="63"/>
      <c r="F606" s="33"/>
      <c r="G606" s="30"/>
      <c r="I606" s="32"/>
    </row>
    <row r="607" spans="2:9" x14ac:dyDescent="0.3">
      <c r="B607" s="33"/>
      <c r="D607" s="63"/>
      <c r="E607" s="63"/>
      <c r="F607" s="33"/>
      <c r="G607" s="30"/>
      <c r="I607" s="32"/>
    </row>
    <row r="608" spans="2:9" x14ac:dyDescent="0.3">
      <c r="B608" s="33"/>
      <c r="D608" s="63"/>
      <c r="E608" s="63"/>
      <c r="F608" s="33"/>
      <c r="G608" s="30"/>
      <c r="I608" s="32"/>
    </row>
    <row r="609" spans="2:9" x14ac:dyDescent="0.3">
      <c r="B609" s="33"/>
      <c r="D609" s="63"/>
      <c r="E609" s="63"/>
      <c r="F609" s="33"/>
      <c r="G609" s="30"/>
      <c r="I609" s="32"/>
    </row>
    <row r="610" spans="2:9" x14ac:dyDescent="0.3">
      <c r="B610" s="33"/>
      <c r="D610" s="63"/>
      <c r="E610" s="63"/>
      <c r="F610" s="33"/>
      <c r="G610" s="30"/>
      <c r="I610" s="32"/>
    </row>
    <row r="611" spans="2:9" x14ac:dyDescent="0.3">
      <c r="B611" s="33"/>
      <c r="D611" s="63"/>
      <c r="E611" s="63"/>
      <c r="F611" s="33"/>
      <c r="G611" s="30"/>
      <c r="I611" s="32"/>
    </row>
    <row r="612" spans="2:9" x14ac:dyDescent="0.3">
      <c r="B612" s="33"/>
      <c r="D612" s="63"/>
      <c r="E612" s="63"/>
      <c r="F612" s="33"/>
      <c r="G612" s="30"/>
      <c r="I612" s="32"/>
    </row>
    <row r="613" spans="2:9" x14ac:dyDescent="0.3">
      <c r="B613" s="33"/>
      <c r="D613" s="63"/>
      <c r="E613" s="63"/>
      <c r="F613" s="33"/>
      <c r="G613" s="30"/>
      <c r="I613" s="32"/>
    </row>
    <row r="614" spans="2:9" x14ac:dyDescent="0.3">
      <c r="B614" s="33"/>
      <c r="D614" s="63"/>
      <c r="E614" s="63"/>
      <c r="F614" s="33"/>
      <c r="G614" s="30"/>
      <c r="I614" s="32"/>
    </row>
    <row r="615" spans="2:9" x14ac:dyDescent="0.3">
      <c r="B615" s="33"/>
      <c r="D615" s="63"/>
      <c r="E615" s="63"/>
      <c r="F615" s="33"/>
      <c r="G615" s="30"/>
      <c r="I615" s="32"/>
    </row>
    <row r="616" spans="2:9" x14ac:dyDescent="0.3">
      <c r="B616" s="33"/>
      <c r="D616" s="63"/>
      <c r="E616" s="63"/>
      <c r="F616" s="33"/>
      <c r="G616" s="30"/>
      <c r="I616" s="32"/>
    </row>
    <row r="617" spans="2:9" x14ac:dyDescent="0.3">
      <c r="B617" s="33"/>
      <c r="D617" s="63"/>
      <c r="E617" s="63"/>
      <c r="F617" s="33"/>
      <c r="G617" s="30"/>
      <c r="I617" s="32"/>
    </row>
    <row r="618" spans="2:9" x14ac:dyDescent="0.3">
      <c r="B618" s="33"/>
      <c r="D618" s="63"/>
      <c r="E618" s="63"/>
      <c r="F618" s="33"/>
      <c r="G618" s="30"/>
      <c r="I618" s="32"/>
    </row>
    <row r="619" spans="2:9" x14ac:dyDescent="0.3">
      <c r="B619" s="33"/>
      <c r="D619" s="63"/>
      <c r="E619" s="63"/>
      <c r="F619" s="33"/>
      <c r="G619" s="30"/>
      <c r="I619" s="32"/>
    </row>
    <row r="620" spans="2:9" x14ac:dyDescent="0.3">
      <c r="B620" s="33"/>
      <c r="D620" s="63"/>
      <c r="E620" s="63"/>
      <c r="F620" s="33"/>
      <c r="G620" s="30"/>
      <c r="I620" s="32"/>
    </row>
    <row r="621" spans="2:9" x14ac:dyDescent="0.3">
      <c r="B621" s="33"/>
      <c r="D621" s="63"/>
      <c r="E621" s="63"/>
      <c r="F621" s="33"/>
      <c r="G621" s="30"/>
      <c r="I621" s="32"/>
    </row>
    <row r="622" spans="2:9" x14ac:dyDescent="0.3">
      <c r="B622" s="33"/>
      <c r="D622" s="63"/>
      <c r="E622" s="63"/>
      <c r="F622" s="33"/>
      <c r="G622" s="30"/>
      <c r="I622" s="32"/>
    </row>
    <row r="623" spans="2:9" x14ac:dyDescent="0.3">
      <c r="B623" s="33"/>
      <c r="D623" s="63"/>
      <c r="E623" s="63"/>
      <c r="F623" s="33"/>
      <c r="G623" s="30"/>
      <c r="I623" s="32"/>
    </row>
    <row r="624" spans="2:9" x14ac:dyDescent="0.3">
      <c r="B624" s="33"/>
      <c r="D624" s="63"/>
      <c r="E624" s="63"/>
      <c r="F624" s="33"/>
      <c r="G624" s="30"/>
      <c r="I624" s="32"/>
    </row>
    <row r="625" spans="2:9" x14ac:dyDescent="0.3">
      <c r="B625" s="33"/>
      <c r="D625" s="63"/>
      <c r="E625" s="63"/>
      <c r="F625" s="33"/>
      <c r="G625" s="30"/>
      <c r="I625" s="32"/>
    </row>
    <row r="626" spans="2:9" x14ac:dyDescent="0.3">
      <c r="B626" s="33"/>
      <c r="D626" s="63"/>
      <c r="E626" s="63"/>
      <c r="F626" s="33"/>
      <c r="G626" s="30"/>
      <c r="I626" s="32"/>
    </row>
    <row r="627" spans="2:9" x14ac:dyDescent="0.3">
      <c r="B627" s="33"/>
      <c r="D627" s="63"/>
      <c r="E627" s="63"/>
      <c r="F627" s="33"/>
      <c r="G627" s="30"/>
      <c r="I627" s="32"/>
    </row>
    <row r="628" spans="2:9" x14ac:dyDescent="0.3">
      <c r="B628" s="33"/>
      <c r="D628" s="63"/>
      <c r="E628" s="63"/>
      <c r="F628" s="33"/>
      <c r="G628" s="30"/>
      <c r="I628" s="32"/>
    </row>
    <row r="629" spans="2:9" x14ac:dyDescent="0.3">
      <c r="B629" s="33"/>
      <c r="D629" s="63"/>
      <c r="E629" s="63"/>
      <c r="F629" s="33"/>
      <c r="G629" s="30"/>
      <c r="I629" s="32"/>
    </row>
    <row r="630" spans="2:9" x14ac:dyDescent="0.3">
      <c r="B630" s="33"/>
      <c r="D630" s="63"/>
      <c r="E630" s="63"/>
      <c r="F630" s="33"/>
      <c r="G630" s="30"/>
      <c r="I630" s="32"/>
    </row>
    <row r="631" spans="2:9" x14ac:dyDescent="0.3">
      <c r="B631" s="33"/>
      <c r="D631" s="63"/>
      <c r="E631" s="63"/>
      <c r="F631" s="33"/>
      <c r="G631" s="30"/>
      <c r="I631" s="32"/>
    </row>
    <row r="632" spans="2:9" x14ac:dyDescent="0.3">
      <c r="B632" s="33"/>
      <c r="D632" s="63"/>
      <c r="E632" s="63"/>
      <c r="F632" s="33"/>
      <c r="G632" s="30"/>
      <c r="I632" s="32"/>
    </row>
    <row r="633" spans="2:9" x14ac:dyDescent="0.3">
      <c r="B633" s="33"/>
      <c r="D633" s="63"/>
      <c r="E633" s="63"/>
      <c r="F633" s="33"/>
      <c r="G633" s="30"/>
      <c r="I633" s="32"/>
    </row>
    <row r="634" spans="2:9" x14ac:dyDescent="0.3">
      <c r="B634" s="33"/>
      <c r="D634" s="63"/>
      <c r="E634" s="63"/>
      <c r="F634" s="33"/>
      <c r="G634" s="30"/>
      <c r="I634" s="32"/>
    </row>
    <row r="635" spans="2:9" x14ac:dyDescent="0.3">
      <c r="B635" s="33"/>
      <c r="D635" s="63"/>
      <c r="E635" s="63"/>
      <c r="F635" s="33"/>
      <c r="G635" s="30"/>
      <c r="I635" s="32"/>
    </row>
    <row r="636" spans="2:9" x14ac:dyDescent="0.3">
      <c r="B636" s="33"/>
      <c r="D636" s="63"/>
      <c r="E636" s="63"/>
      <c r="F636" s="33"/>
      <c r="G636" s="30"/>
      <c r="I636" s="32"/>
    </row>
    <row r="637" spans="2:9" x14ac:dyDescent="0.3">
      <c r="B637" s="33"/>
      <c r="D637" s="63"/>
      <c r="E637" s="63"/>
      <c r="F637" s="33"/>
      <c r="G637" s="30"/>
      <c r="I637" s="32"/>
    </row>
    <row r="638" spans="2:9" x14ac:dyDescent="0.3">
      <c r="B638" s="33"/>
      <c r="D638" s="63"/>
      <c r="E638" s="63"/>
      <c r="F638" s="33"/>
      <c r="G638" s="30"/>
      <c r="I638" s="32"/>
    </row>
    <row r="639" spans="2:9" x14ac:dyDescent="0.3">
      <c r="B639" s="33"/>
      <c r="D639" s="63"/>
      <c r="E639" s="63"/>
      <c r="F639" s="33"/>
      <c r="G639" s="30"/>
      <c r="I639" s="32"/>
    </row>
    <row r="640" spans="2:9" x14ac:dyDescent="0.3">
      <c r="B640" s="33"/>
      <c r="D640" s="63"/>
      <c r="E640" s="63"/>
      <c r="F640" s="33"/>
      <c r="G640" s="30"/>
      <c r="I640" s="32"/>
    </row>
    <row r="641" spans="2:9" x14ac:dyDescent="0.3">
      <c r="B641" s="33"/>
      <c r="D641" s="63"/>
      <c r="E641" s="63"/>
      <c r="F641" s="33"/>
      <c r="G641" s="30"/>
      <c r="I641" s="32"/>
    </row>
    <row r="642" spans="2:9" x14ac:dyDescent="0.3">
      <c r="B642" s="33"/>
      <c r="D642" s="63"/>
      <c r="E642" s="63"/>
      <c r="F642" s="33"/>
      <c r="G642" s="30"/>
      <c r="I642" s="32"/>
    </row>
    <row r="643" spans="2:9" x14ac:dyDescent="0.3">
      <c r="B643" s="33"/>
      <c r="D643" s="63"/>
      <c r="E643" s="63"/>
      <c r="F643" s="33"/>
      <c r="G643" s="30"/>
      <c r="I643" s="32"/>
    </row>
    <row r="644" spans="2:9" x14ac:dyDescent="0.3">
      <c r="B644" s="33"/>
      <c r="D644" s="63"/>
      <c r="E644" s="63"/>
      <c r="F644" s="33"/>
      <c r="G644" s="30"/>
      <c r="I644" s="32"/>
    </row>
    <row r="645" spans="2:9" x14ac:dyDescent="0.3">
      <c r="B645" s="33"/>
      <c r="D645" s="63"/>
      <c r="E645" s="63"/>
      <c r="F645" s="33"/>
      <c r="G645" s="30"/>
      <c r="I645" s="32"/>
    </row>
    <row r="646" spans="2:9" x14ac:dyDescent="0.3">
      <c r="B646" s="33"/>
      <c r="D646" s="63"/>
      <c r="E646" s="63"/>
      <c r="F646" s="33"/>
      <c r="G646" s="30"/>
      <c r="I646" s="32"/>
    </row>
    <row r="647" spans="2:9" x14ac:dyDescent="0.3">
      <c r="B647" s="33"/>
      <c r="D647" s="63"/>
      <c r="E647" s="63"/>
      <c r="F647" s="33"/>
      <c r="G647" s="30"/>
      <c r="I647" s="32"/>
    </row>
    <row r="648" spans="2:9" x14ac:dyDescent="0.3">
      <c r="B648" s="33"/>
      <c r="D648" s="63"/>
      <c r="E648" s="63"/>
      <c r="F648" s="33"/>
      <c r="G648" s="30"/>
      <c r="I648" s="32"/>
    </row>
    <row r="649" spans="2:9" x14ac:dyDescent="0.3">
      <c r="B649" s="33"/>
      <c r="D649" s="63"/>
      <c r="E649" s="63"/>
      <c r="F649" s="33"/>
      <c r="G649" s="30"/>
      <c r="I649" s="32"/>
    </row>
    <row r="650" spans="2:9" x14ac:dyDescent="0.3">
      <c r="B650" s="33"/>
      <c r="D650" s="63"/>
      <c r="E650" s="63"/>
      <c r="F650" s="33"/>
      <c r="G650" s="30"/>
      <c r="I650" s="32"/>
    </row>
    <row r="651" spans="2:9" x14ac:dyDescent="0.3">
      <c r="B651" s="33"/>
      <c r="D651" s="63"/>
      <c r="E651" s="63"/>
      <c r="F651" s="33"/>
      <c r="G651" s="30"/>
      <c r="I651" s="32"/>
    </row>
    <row r="652" spans="2:9" x14ac:dyDescent="0.3">
      <c r="B652" s="33"/>
      <c r="D652" s="63"/>
      <c r="E652" s="63"/>
      <c r="F652" s="33"/>
      <c r="G652" s="30"/>
      <c r="I652" s="32"/>
    </row>
    <row r="653" spans="2:9" x14ac:dyDescent="0.3">
      <c r="B653" s="33"/>
      <c r="D653" s="63"/>
      <c r="E653" s="63"/>
      <c r="F653" s="33"/>
      <c r="G653" s="30"/>
      <c r="I653" s="32"/>
    </row>
    <row r="654" spans="2:9" x14ac:dyDescent="0.3">
      <c r="B654" s="33"/>
      <c r="D654" s="63"/>
      <c r="E654" s="63"/>
      <c r="F654" s="33"/>
      <c r="G654" s="30"/>
      <c r="I654" s="32"/>
    </row>
    <row r="655" spans="2:9" x14ac:dyDescent="0.3">
      <c r="B655" s="33"/>
      <c r="D655" s="63"/>
      <c r="E655" s="63"/>
      <c r="F655" s="33"/>
      <c r="G655" s="30"/>
      <c r="I655" s="32"/>
    </row>
    <row r="656" spans="2:9" x14ac:dyDescent="0.3">
      <c r="B656" s="33"/>
      <c r="D656" s="63"/>
      <c r="E656" s="63"/>
      <c r="F656" s="33"/>
      <c r="G656" s="30"/>
      <c r="I656" s="32"/>
    </row>
    <row r="657" spans="2:9" x14ac:dyDescent="0.3">
      <c r="B657" s="33"/>
      <c r="D657" s="63"/>
      <c r="E657" s="63"/>
      <c r="F657" s="33"/>
      <c r="G657" s="30"/>
      <c r="I657" s="32"/>
    </row>
    <row r="658" spans="2:9" x14ac:dyDescent="0.3">
      <c r="B658" s="33"/>
      <c r="D658" s="63"/>
      <c r="E658" s="63"/>
      <c r="F658" s="33"/>
      <c r="G658" s="30"/>
      <c r="I658" s="32"/>
    </row>
    <row r="659" spans="2:9" x14ac:dyDescent="0.3">
      <c r="B659" s="33"/>
      <c r="D659" s="63"/>
      <c r="E659" s="63"/>
      <c r="F659" s="33"/>
      <c r="G659" s="30"/>
      <c r="I659" s="32"/>
    </row>
    <row r="660" spans="2:9" x14ac:dyDescent="0.3">
      <c r="B660" s="33"/>
      <c r="D660" s="63"/>
      <c r="E660" s="63"/>
      <c r="F660" s="33"/>
      <c r="G660" s="30"/>
      <c r="I660" s="32"/>
    </row>
    <row r="661" spans="2:9" x14ac:dyDescent="0.3">
      <c r="B661" s="33"/>
      <c r="D661" s="63"/>
      <c r="E661" s="63"/>
      <c r="F661" s="33"/>
      <c r="G661" s="30"/>
      <c r="I661" s="32"/>
    </row>
    <row r="662" spans="2:9" x14ac:dyDescent="0.3">
      <c r="B662" s="33"/>
      <c r="D662" s="63"/>
      <c r="E662" s="63"/>
      <c r="F662" s="33"/>
      <c r="G662" s="30"/>
      <c r="I662" s="32"/>
    </row>
    <row r="663" spans="2:9" x14ac:dyDescent="0.3">
      <c r="B663" s="33"/>
      <c r="D663" s="63"/>
      <c r="E663" s="63"/>
      <c r="F663" s="33"/>
      <c r="G663" s="30"/>
      <c r="I663" s="32"/>
    </row>
    <row r="664" spans="2:9" x14ac:dyDescent="0.3">
      <c r="B664" s="33"/>
      <c r="D664" s="63"/>
      <c r="E664" s="63"/>
      <c r="F664" s="33"/>
      <c r="G664" s="30"/>
      <c r="I664" s="32"/>
    </row>
    <row r="665" spans="2:9" x14ac:dyDescent="0.3">
      <c r="B665" s="33"/>
      <c r="D665" s="63"/>
      <c r="E665" s="63"/>
      <c r="F665" s="33"/>
      <c r="G665" s="30"/>
      <c r="I665" s="32"/>
    </row>
    <row r="666" spans="2:9" x14ac:dyDescent="0.3">
      <c r="B666" s="33"/>
      <c r="D666" s="63"/>
      <c r="E666" s="63"/>
      <c r="F666" s="33"/>
      <c r="G666" s="30"/>
      <c r="I666" s="32"/>
    </row>
    <row r="667" spans="2:9" x14ac:dyDescent="0.3">
      <c r="B667" s="33"/>
      <c r="D667" s="63"/>
      <c r="E667" s="63"/>
      <c r="F667" s="33"/>
      <c r="G667" s="30"/>
      <c r="I667" s="32"/>
    </row>
    <row r="668" spans="2:9" x14ac:dyDescent="0.3">
      <c r="B668" s="33"/>
      <c r="D668" s="63"/>
      <c r="E668" s="63"/>
      <c r="F668" s="33"/>
      <c r="G668" s="30"/>
      <c r="I668" s="32"/>
    </row>
    <row r="669" spans="2:9" x14ac:dyDescent="0.3">
      <c r="B669" s="33"/>
      <c r="D669" s="63"/>
      <c r="E669" s="63"/>
      <c r="F669" s="33"/>
      <c r="G669" s="30"/>
      <c r="I669" s="32"/>
    </row>
    <row r="670" spans="2:9" x14ac:dyDescent="0.3">
      <c r="B670" s="33"/>
      <c r="D670" s="63"/>
      <c r="E670" s="63"/>
      <c r="F670" s="33"/>
      <c r="G670" s="30"/>
      <c r="I670" s="32"/>
    </row>
    <row r="671" spans="2:9" x14ac:dyDescent="0.3">
      <c r="B671" s="33"/>
      <c r="D671" s="63"/>
      <c r="E671" s="63"/>
      <c r="F671" s="33"/>
      <c r="G671" s="30"/>
      <c r="I671" s="32"/>
    </row>
    <row r="672" spans="2:9" x14ac:dyDescent="0.3">
      <c r="B672" s="33"/>
      <c r="D672" s="63"/>
      <c r="E672" s="63"/>
      <c r="F672" s="33"/>
      <c r="G672" s="30"/>
      <c r="I672" s="32"/>
    </row>
    <row r="673" spans="2:9" x14ac:dyDescent="0.3">
      <c r="B673" s="33"/>
      <c r="D673" s="63"/>
      <c r="E673" s="63"/>
      <c r="F673" s="33"/>
      <c r="G673" s="30"/>
      <c r="I673" s="32"/>
    </row>
    <row r="674" spans="2:9" x14ac:dyDescent="0.3">
      <c r="B674" s="33"/>
      <c r="D674" s="63"/>
      <c r="E674" s="63"/>
      <c r="F674" s="33"/>
      <c r="G674" s="30"/>
      <c r="I674" s="32"/>
    </row>
    <row r="675" spans="2:9" x14ac:dyDescent="0.3">
      <c r="B675" s="33"/>
      <c r="D675" s="63"/>
      <c r="E675" s="63"/>
      <c r="F675" s="33"/>
      <c r="G675" s="30"/>
      <c r="I675" s="32"/>
    </row>
    <row r="676" spans="2:9" x14ac:dyDescent="0.3">
      <c r="B676" s="33"/>
      <c r="D676" s="63"/>
      <c r="E676" s="63"/>
      <c r="F676" s="33"/>
      <c r="G676" s="30"/>
      <c r="I676" s="32"/>
    </row>
    <row r="677" spans="2:9" x14ac:dyDescent="0.3">
      <c r="B677" s="33"/>
      <c r="D677" s="63"/>
      <c r="E677" s="63"/>
      <c r="F677" s="33"/>
      <c r="G677" s="30"/>
      <c r="I677" s="32"/>
    </row>
    <row r="678" spans="2:9" x14ac:dyDescent="0.3">
      <c r="B678" s="33"/>
      <c r="D678" s="63"/>
      <c r="E678" s="63"/>
      <c r="F678" s="33"/>
      <c r="G678" s="30"/>
      <c r="I678" s="32"/>
    </row>
    <row r="679" spans="2:9" x14ac:dyDescent="0.3">
      <c r="B679" s="33"/>
      <c r="D679" s="63"/>
      <c r="E679" s="63"/>
      <c r="F679" s="33"/>
      <c r="G679" s="30"/>
      <c r="I679" s="32"/>
    </row>
    <row r="680" spans="2:9" x14ac:dyDescent="0.3">
      <c r="B680" s="33"/>
      <c r="D680" s="63"/>
      <c r="E680" s="63"/>
      <c r="F680" s="33"/>
      <c r="G680" s="30"/>
      <c r="I680" s="32"/>
    </row>
    <row r="681" spans="2:9" x14ac:dyDescent="0.3">
      <c r="B681" s="33"/>
      <c r="D681" s="63"/>
      <c r="E681" s="63"/>
      <c r="F681" s="33"/>
      <c r="G681" s="30"/>
      <c r="I681" s="32"/>
    </row>
    <row r="682" spans="2:9" x14ac:dyDescent="0.3">
      <c r="B682" s="33"/>
      <c r="D682" s="63"/>
      <c r="E682" s="63"/>
      <c r="F682" s="33"/>
      <c r="G682" s="30"/>
      <c r="I682" s="32"/>
    </row>
    <row r="683" spans="2:9" x14ac:dyDescent="0.3">
      <c r="B683" s="33"/>
      <c r="D683" s="63"/>
      <c r="E683" s="63"/>
      <c r="F683" s="33"/>
      <c r="G683" s="30"/>
      <c r="I683" s="32"/>
    </row>
    <row r="684" spans="2:9" x14ac:dyDescent="0.3">
      <c r="B684" s="33"/>
      <c r="D684" s="63"/>
      <c r="E684" s="63"/>
      <c r="F684" s="33"/>
      <c r="G684" s="30"/>
      <c r="I684" s="32"/>
    </row>
    <row r="685" spans="2:9" x14ac:dyDescent="0.3">
      <c r="B685" s="33"/>
      <c r="D685" s="63"/>
      <c r="E685" s="63"/>
      <c r="F685" s="33"/>
      <c r="G685" s="30"/>
      <c r="I685" s="32"/>
    </row>
    <row r="686" spans="2:9" x14ac:dyDescent="0.3">
      <c r="B686" s="33"/>
      <c r="D686" s="63"/>
      <c r="E686" s="63"/>
      <c r="F686" s="33"/>
      <c r="G686" s="30"/>
      <c r="I686" s="32"/>
    </row>
    <row r="687" spans="2:9" x14ac:dyDescent="0.3">
      <c r="B687" s="33"/>
      <c r="D687" s="63"/>
      <c r="E687" s="63"/>
      <c r="F687" s="33"/>
      <c r="G687" s="30"/>
      <c r="I687" s="32"/>
    </row>
    <row r="688" spans="2:9" x14ac:dyDescent="0.3">
      <c r="B688" s="33"/>
      <c r="D688" s="63"/>
      <c r="E688" s="63"/>
      <c r="F688" s="33"/>
      <c r="G688" s="30"/>
      <c r="I688" s="32"/>
    </row>
    <row r="689" spans="2:9" x14ac:dyDescent="0.3">
      <c r="B689" s="33"/>
      <c r="D689" s="63"/>
      <c r="E689" s="63"/>
      <c r="F689" s="33"/>
      <c r="G689" s="30"/>
      <c r="I689" s="32"/>
    </row>
    <row r="690" spans="2:9" x14ac:dyDescent="0.3">
      <c r="B690" s="33"/>
      <c r="D690" s="63"/>
      <c r="E690" s="63"/>
      <c r="F690" s="33"/>
      <c r="G690" s="30"/>
      <c r="I690" s="32"/>
    </row>
    <row r="691" spans="2:9" x14ac:dyDescent="0.3">
      <c r="B691" s="33"/>
      <c r="D691" s="63"/>
      <c r="E691" s="63"/>
      <c r="F691" s="33"/>
      <c r="G691" s="30"/>
      <c r="I691" s="32"/>
    </row>
    <row r="692" spans="2:9" x14ac:dyDescent="0.3">
      <c r="B692" s="33"/>
      <c r="D692" s="63"/>
      <c r="E692" s="63"/>
      <c r="F692" s="33"/>
      <c r="G692" s="30"/>
      <c r="I692" s="32"/>
    </row>
    <row r="693" spans="2:9" x14ac:dyDescent="0.3">
      <c r="B693" s="33"/>
      <c r="D693" s="63"/>
      <c r="E693" s="63"/>
      <c r="F693" s="33"/>
      <c r="G693" s="30"/>
      <c r="I693" s="32"/>
    </row>
    <row r="694" spans="2:9" x14ac:dyDescent="0.3">
      <c r="B694" s="33"/>
      <c r="D694" s="63"/>
      <c r="E694" s="63"/>
      <c r="F694" s="33"/>
      <c r="G694" s="30"/>
      <c r="I694" s="32"/>
    </row>
    <row r="695" spans="2:9" x14ac:dyDescent="0.3">
      <c r="B695" s="33"/>
      <c r="D695" s="63"/>
      <c r="E695" s="63"/>
      <c r="F695" s="33"/>
      <c r="G695" s="30"/>
      <c r="I695" s="32"/>
    </row>
    <row r="696" spans="2:9" x14ac:dyDescent="0.3">
      <c r="B696" s="33"/>
      <c r="D696" s="63"/>
      <c r="E696" s="63"/>
      <c r="F696" s="33"/>
      <c r="G696" s="30"/>
      <c r="I696" s="32"/>
    </row>
    <row r="697" spans="2:9" x14ac:dyDescent="0.3">
      <c r="B697" s="33"/>
      <c r="D697" s="63"/>
      <c r="E697" s="63"/>
      <c r="F697" s="33"/>
      <c r="G697" s="30"/>
      <c r="I697" s="32"/>
    </row>
    <row r="698" spans="2:9" x14ac:dyDescent="0.3">
      <c r="B698" s="33"/>
      <c r="D698" s="63"/>
      <c r="E698" s="63"/>
      <c r="F698" s="33"/>
      <c r="G698" s="30"/>
      <c r="I698" s="32"/>
    </row>
    <row r="699" spans="2:9" x14ac:dyDescent="0.3">
      <c r="B699" s="33"/>
      <c r="D699" s="63"/>
      <c r="E699" s="63"/>
      <c r="F699" s="33"/>
      <c r="G699" s="30"/>
      <c r="I699" s="32"/>
    </row>
    <row r="700" spans="2:9" x14ac:dyDescent="0.3">
      <c r="B700" s="33"/>
      <c r="D700" s="63"/>
      <c r="E700" s="63"/>
      <c r="F700" s="33"/>
      <c r="G700" s="30"/>
      <c r="I700" s="32"/>
    </row>
    <row r="701" spans="2:9" x14ac:dyDescent="0.3">
      <c r="B701" s="33"/>
      <c r="D701" s="63"/>
      <c r="E701" s="63"/>
      <c r="F701" s="33"/>
      <c r="G701" s="30"/>
      <c r="I701" s="32"/>
    </row>
    <row r="702" spans="2:9" x14ac:dyDescent="0.3">
      <c r="B702" s="33"/>
      <c r="D702" s="63"/>
      <c r="E702" s="63"/>
      <c r="F702" s="33"/>
      <c r="G702" s="30"/>
      <c r="I702" s="32"/>
    </row>
    <row r="703" spans="2:9" x14ac:dyDescent="0.3">
      <c r="B703" s="33"/>
      <c r="D703" s="63"/>
      <c r="E703" s="63"/>
      <c r="F703" s="33"/>
      <c r="G703" s="30"/>
      <c r="I703" s="32"/>
    </row>
    <row r="704" spans="2:9" x14ac:dyDescent="0.3">
      <c r="B704" s="33"/>
      <c r="D704" s="63"/>
      <c r="E704" s="63"/>
      <c r="F704" s="33"/>
      <c r="G704" s="30"/>
      <c r="I704" s="32"/>
    </row>
    <row r="705" spans="2:9" x14ac:dyDescent="0.3">
      <c r="B705" s="33"/>
      <c r="D705" s="63"/>
      <c r="E705" s="63"/>
      <c r="F705" s="33"/>
      <c r="G705" s="30"/>
      <c r="I705" s="32"/>
    </row>
    <row r="706" spans="2:9" x14ac:dyDescent="0.3">
      <c r="B706" s="33"/>
      <c r="D706" s="63"/>
      <c r="E706" s="63"/>
      <c r="F706" s="33"/>
      <c r="G706" s="30"/>
      <c r="I706" s="32"/>
    </row>
    <row r="707" spans="2:9" x14ac:dyDescent="0.3">
      <c r="B707" s="33"/>
      <c r="D707" s="63"/>
      <c r="E707" s="63"/>
      <c r="F707" s="33"/>
      <c r="G707" s="30"/>
      <c r="I707" s="32"/>
    </row>
    <row r="708" spans="2:9" x14ac:dyDescent="0.3">
      <c r="B708" s="33"/>
      <c r="D708" s="63"/>
      <c r="E708" s="63"/>
      <c r="F708" s="33"/>
      <c r="G708" s="30"/>
      <c r="I708" s="32"/>
    </row>
    <row r="709" spans="2:9" x14ac:dyDescent="0.3">
      <c r="B709" s="33"/>
      <c r="D709" s="63"/>
      <c r="E709" s="63"/>
      <c r="F709" s="33"/>
      <c r="G709" s="30"/>
      <c r="I709" s="32"/>
    </row>
    <row r="710" spans="2:9" x14ac:dyDescent="0.3">
      <c r="B710" s="33"/>
      <c r="D710" s="63"/>
      <c r="E710" s="63"/>
      <c r="F710" s="33"/>
      <c r="G710" s="30"/>
      <c r="I710" s="32"/>
    </row>
    <row r="711" spans="2:9" x14ac:dyDescent="0.3">
      <c r="B711" s="33"/>
      <c r="D711" s="63"/>
      <c r="E711" s="63"/>
      <c r="F711" s="33"/>
      <c r="G711" s="30"/>
      <c r="I711" s="32"/>
    </row>
    <row r="712" spans="2:9" x14ac:dyDescent="0.3">
      <c r="B712" s="33"/>
      <c r="D712" s="63"/>
      <c r="E712" s="63"/>
      <c r="F712" s="33"/>
      <c r="G712" s="30"/>
      <c r="I712" s="32"/>
    </row>
    <row r="713" spans="2:9" x14ac:dyDescent="0.3">
      <c r="B713" s="33"/>
      <c r="D713" s="63"/>
      <c r="E713" s="63"/>
      <c r="F713" s="33"/>
      <c r="G713" s="30"/>
      <c r="I713" s="32"/>
    </row>
    <row r="714" spans="2:9" x14ac:dyDescent="0.3">
      <c r="B714" s="33"/>
      <c r="D714" s="63"/>
      <c r="E714" s="63"/>
      <c r="F714" s="33"/>
      <c r="G714" s="30"/>
      <c r="I714" s="32"/>
    </row>
    <row r="715" spans="2:9" x14ac:dyDescent="0.3">
      <c r="B715" s="33"/>
      <c r="D715" s="63"/>
      <c r="E715" s="63"/>
      <c r="F715" s="33"/>
      <c r="G715" s="30"/>
      <c r="I715" s="32"/>
    </row>
    <row r="716" spans="2:9" x14ac:dyDescent="0.3">
      <c r="B716" s="33"/>
      <c r="D716" s="63"/>
      <c r="E716" s="63"/>
      <c r="F716" s="33"/>
      <c r="G716" s="30"/>
      <c r="I716" s="32"/>
    </row>
    <row r="717" spans="2:9" x14ac:dyDescent="0.3">
      <c r="B717" s="33"/>
      <c r="D717" s="63"/>
      <c r="E717" s="63"/>
      <c r="F717" s="33"/>
      <c r="G717" s="30"/>
      <c r="I717" s="32"/>
    </row>
    <row r="718" spans="2:9" x14ac:dyDescent="0.3">
      <c r="B718" s="33"/>
      <c r="D718" s="63"/>
      <c r="E718" s="63"/>
      <c r="F718" s="33"/>
      <c r="G718" s="30"/>
      <c r="I718" s="32"/>
    </row>
    <row r="719" spans="2:9" x14ac:dyDescent="0.3">
      <c r="B719" s="33"/>
      <c r="D719" s="63"/>
      <c r="E719" s="63"/>
      <c r="F719" s="33"/>
      <c r="G719" s="30"/>
      <c r="I719" s="32"/>
    </row>
    <row r="720" spans="2:9" x14ac:dyDescent="0.3">
      <c r="B720" s="33"/>
      <c r="D720" s="63"/>
      <c r="E720" s="63"/>
      <c r="F720" s="33"/>
      <c r="G720" s="30"/>
      <c r="I720" s="32"/>
    </row>
    <row r="721" spans="2:9" x14ac:dyDescent="0.3">
      <c r="B721" s="33"/>
      <c r="D721" s="63"/>
      <c r="E721" s="63"/>
      <c r="F721" s="33"/>
      <c r="G721" s="30"/>
      <c r="I721" s="32"/>
    </row>
    <row r="722" spans="2:9" x14ac:dyDescent="0.3">
      <c r="B722" s="33"/>
      <c r="D722" s="63"/>
      <c r="E722" s="63"/>
      <c r="F722" s="33"/>
      <c r="G722" s="30"/>
      <c r="I722" s="32"/>
    </row>
    <row r="723" spans="2:9" x14ac:dyDescent="0.3">
      <c r="B723" s="33"/>
      <c r="D723" s="63"/>
      <c r="E723" s="63"/>
      <c r="F723" s="33"/>
      <c r="G723" s="30"/>
      <c r="I723" s="32"/>
    </row>
    <row r="724" spans="2:9" x14ac:dyDescent="0.3">
      <c r="B724" s="33"/>
      <c r="D724" s="63"/>
      <c r="E724" s="63"/>
      <c r="F724" s="33"/>
      <c r="G724" s="30"/>
      <c r="I724" s="32"/>
    </row>
    <row r="725" spans="2:9" x14ac:dyDescent="0.3">
      <c r="B725" s="33"/>
      <c r="D725" s="63"/>
      <c r="E725" s="63"/>
      <c r="F725" s="33"/>
      <c r="G725" s="30"/>
      <c r="I725" s="32"/>
    </row>
    <row r="726" spans="2:9" x14ac:dyDescent="0.3">
      <c r="B726" s="33"/>
      <c r="D726" s="63"/>
      <c r="E726" s="63"/>
      <c r="F726" s="33"/>
      <c r="G726" s="30"/>
      <c r="I726" s="32"/>
    </row>
    <row r="727" spans="2:9" x14ac:dyDescent="0.3">
      <c r="B727" s="33"/>
      <c r="D727" s="63"/>
      <c r="E727" s="63"/>
      <c r="F727" s="33"/>
      <c r="G727" s="30"/>
      <c r="I727" s="32"/>
    </row>
    <row r="728" spans="2:9" x14ac:dyDescent="0.3">
      <c r="B728" s="33"/>
      <c r="D728" s="63"/>
      <c r="E728" s="63"/>
      <c r="F728" s="33"/>
      <c r="G728" s="30"/>
      <c r="I728" s="32"/>
    </row>
    <row r="729" spans="2:9" x14ac:dyDescent="0.3">
      <c r="B729" s="33"/>
      <c r="D729" s="63"/>
      <c r="E729" s="63"/>
      <c r="F729" s="33"/>
      <c r="G729" s="30"/>
      <c r="I729" s="32"/>
    </row>
    <row r="730" spans="2:9" x14ac:dyDescent="0.3">
      <c r="B730" s="33"/>
      <c r="D730" s="63"/>
      <c r="E730" s="63"/>
      <c r="F730" s="33"/>
      <c r="G730" s="30"/>
      <c r="I730" s="32"/>
    </row>
    <row r="731" spans="2:9" x14ac:dyDescent="0.3">
      <c r="B731" s="33"/>
      <c r="D731" s="63"/>
      <c r="E731" s="63"/>
      <c r="F731" s="33"/>
      <c r="G731" s="30"/>
      <c r="I731" s="32"/>
    </row>
    <row r="732" spans="2:9" x14ac:dyDescent="0.3">
      <c r="B732" s="33"/>
      <c r="D732" s="63"/>
      <c r="E732" s="63"/>
      <c r="F732" s="33"/>
      <c r="G732" s="30"/>
      <c r="I732" s="32"/>
    </row>
    <row r="733" spans="2:9" x14ac:dyDescent="0.3">
      <c r="B733" s="33"/>
      <c r="D733" s="63"/>
      <c r="E733" s="63"/>
      <c r="F733" s="33"/>
      <c r="G733" s="30"/>
      <c r="I733" s="32"/>
    </row>
    <row r="734" spans="2:9" x14ac:dyDescent="0.3">
      <c r="B734" s="33"/>
      <c r="D734" s="63"/>
      <c r="E734" s="63"/>
      <c r="F734" s="33"/>
      <c r="G734" s="30"/>
      <c r="I734" s="32"/>
    </row>
    <row r="735" spans="2:9" x14ac:dyDescent="0.3">
      <c r="B735" s="33"/>
      <c r="D735" s="63"/>
      <c r="E735" s="63"/>
      <c r="F735" s="33"/>
      <c r="G735" s="30"/>
      <c r="I735" s="32"/>
    </row>
    <row r="736" spans="2:9" x14ac:dyDescent="0.3">
      <c r="B736" s="33"/>
      <c r="D736" s="63"/>
      <c r="E736" s="63"/>
      <c r="F736" s="33"/>
      <c r="G736" s="30"/>
      <c r="I736" s="32"/>
    </row>
    <row r="737" spans="2:9" x14ac:dyDescent="0.3">
      <c r="B737" s="33"/>
      <c r="D737" s="63"/>
      <c r="E737" s="63"/>
      <c r="F737" s="33"/>
      <c r="G737" s="30"/>
      <c r="I737" s="32"/>
    </row>
    <row r="738" spans="2:9" x14ac:dyDescent="0.3">
      <c r="B738" s="33"/>
      <c r="D738" s="63"/>
      <c r="E738" s="63"/>
      <c r="F738" s="33"/>
      <c r="G738" s="30"/>
      <c r="I738" s="32"/>
    </row>
    <row r="739" spans="2:9" x14ac:dyDescent="0.3">
      <c r="B739" s="33"/>
      <c r="D739" s="63"/>
      <c r="E739" s="63"/>
      <c r="F739" s="33"/>
      <c r="G739" s="30"/>
      <c r="I739" s="32"/>
    </row>
    <row r="740" spans="2:9" x14ac:dyDescent="0.3">
      <c r="B740" s="33"/>
      <c r="D740" s="63"/>
      <c r="E740" s="63"/>
      <c r="F740" s="33"/>
      <c r="G740" s="30"/>
      <c r="I740" s="32"/>
    </row>
    <row r="741" spans="2:9" x14ac:dyDescent="0.3">
      <c r="B741" s="33"/>
      <c r="D741" s="63"/>
      <c r="E741" s="63"/>
      <c r="F741" s="33"/>
      <c r="G741" s="30"/>
      <c r="I741" s="32"/>
    </row>
    <row r="742" spans="2:9" x14ac:dyDescent="0.3">
      <c r="B742" s="33"/>
      <c r="D742" s="63"/>
      <c r="E742" s="63"/>
      <c r="F742" s="33"/>
      <c r="G742" s="30"/>
      <c r="I742" s="32"/>
    </row>
    <row r="743" spans="2:9" x14ac:dyDescent="0.3">
      <c r="B743" s="33"/>
      <c r="D743" s="63"/>
      <c r="E743" s="63"/>
      <c r="F743" s="33"/>
      <c r="G743" s="30"/>
      <c r="I743" s="32"/>
    </row>
    <row r="744" spans="2:9" x14ac:dyDescent="0.3">
      <c r="B744" s="33"/>
      <c r="D744" s="63"/>
      <c r="E744" s="63"/>
      <c r="F744" s="33"/>
      <c r="G744" s="30"/>
      <c r="I744" s="32"/>
    </row>
    <row r="745" spans="2:9" x14ac:dyDescent="0.3">
      <c r="B745" s="33"/>
      <c r="D745" s="63"/>
      <c r="E745" s="63"/>
      <c r="F745" s="33"/>
      <c r="G745" s="30"/>
      <c r="I745" s="32"/>
    </row>
    <row r="746" spans="2:9" x14ac:dyDescent="0.3">
      <c r="B746" s="33"/>
      <c r="D746" s="63"/>
      <c r="E746" s="63"/>
      <c r="F746" s="33"/>
      <c r="G746" s="30"/>
      <c r="I746" s="32"/>
    </row>
    <row r="747" spans="2:9" x14ac:dyDescent="0.3">
      <c r="B747" s="33"/>
      <c r="D747" s="63"/>
      <c r="E747" s="63"/>
      <c r="F747" s="33"/>
      <c r="G747" s="30"/>
      <c r="I747" s="32"/>
    </row>
    <row r="748" spans="2:9" x14ac:dyDescent="0.3">
      <c r="B748" s="33"/>
      <c r="D748" s="63"/>
      <c r="E748" s="63"/>
      <c r="F748" s="33"/>
      <c r="G748" s="30"/>
      <c r="I748" s="32"/>
    </row>
    <row r="749" spans="2:9" x14ac:dyDescent="0.3">
      <c r="B749" s="33"/>
      <c r="D749" s="63"/>
      <c r="E749" s="63"/>
      <c r="F749" s="33"/>
      <c r="G749" s="30"/>
      <c r="I749" s="32"/>
    </row>
    <row r="750" spans="2:9" x14ac:dyDescent="0.3">
      <c r="B750" s="33"/>
      <c r="D750" s="63"/>
      <c r="E750" s="63"/>
      <c r="F750" s="33"/>
      <c r="G750" s="30"/>
      <c r="I750" s="32"/>
    </row>
    <row r="751" spans="2:9" x14ac:dyDescent="0.3">
      <c r="B751" s="33"/>
      <c r="D751" s="63"/>
      <c r="E751" s="63"/>
      <c r="F751" s="33"/>
      <c r="G751" s="30"/>
      <c r="I751" s="32"/>
    </row>
    <row r="752" spans="2:9" x14ac:dyDescent="0.3">
      <c r="B752" s="33"/>
      <c r="D752" s="63"/>
      <c r="E752" s="63"/>
      <c r="F752" s="33"/>
      <c r="G752" s="30"/>
      <c r="I752" s="32"/>
    </row>
    <row r="753" spans="2:9" x14ac:dyDescent="0.3">
      <c r="B753" s="33"/>
      <c r="D753" s="63"/>
      <c r="E753" s="63"/>
      <c r="F753" s="33"/>
      <c r="G753" s="30"/>
      <c r="I753" s="32"/>
    </row>
    <row r="754" spans="2:9" x14ac:dyDescent="0.3">
      <c r="B754" s="33"/>
      <c r="D754" s="63"/>
      <c r="E754" s="63"/>
      <c r="F754" s="33"/>
      <c r="G754" s="30"/>
      <c r="I754" s="32"/>
    </row>
    <row r="755" spans="2:9" x14ac:dyDescent="0.3">
      <c r="B755" s="33"/>
      <c r="D755" s="63"/>
      <c r="E755" s="63"/>
      <c r="F755" s="33"/>
      <c r="G755" s="30"/>
      <c r="I755" s="32"/>
    </row>
    <row r="756" spans="2:9" x14ac:dyDescent="0.3">
      <c r="B756" s="33"/>
      <c r="D756" s="63"/>
      <c r="E756" s="63"/>
      <c r="F756" s="33"/>
      <c r="G756" s="30"/>
      <c r="I756" s="32"/>
    </row>
    <row r="757" spans="2:9" x14ac:dyDescent="0.3">
      <c r="B757" s="33"/>
      <c r="D757" s="63"/>
      <c r="E757" s="63"/>
      <c r="F757" s="33"/>
      <c r="G757" s="30"/>
      <c r="I757" s="32"/>
    </row>
    <row r="758" spans="2:9" x14ac:dyDescent="0.3">
      <c r="B758" s="33"/>
      <c r="D758" s="63"/>
      <c r="E758" s="63"/>
      <c r="F758" s="33"/>
      <c r="G758" s="30"/>
      <c r="I758" s="32"/>
    </row>
    <row r="759" spans="2:9" x14ac:dyDescent="0.3">
      <c r="B759" s="33"/>
      <c r="D759" s="63"/>
      <c r="E759" s="63"/>
      <c r="F759" s="33"/>
      <c r="G759" s="30"/>
      <c r="I759" s="32"/>
    </row>
    <row r="760" spans="2:9" x14ac:dyDescent="0.3">
      <c r="B760" s="33"/>
      <c r="D760" s="63"/>
      <c r="E760" s="63"/>
      <c r="F760" s="33"/>
      <c r="G760" s="30"/>
      <c r="I760" s="32"/>
    </row>
    <row r="761" spans="2:9" x14ac:dyDescent="0.3">
      <c r="B761" s="33"/>
      <c r="D761" s="63"/>
      <c r="E761" s="63"/>
      <c r="F761" s="33"/>
      <c r="G761" s="30"/>
      <c r="I761" s="32"/>
    </row>
    <row r="762" spans="2:9" x14ac:dyDescent="0.3">
      <c r="B762" s="33"/>
      <c r="D762" s="63"/>
      <c r="E762" s="63"/>
      <c r="F762" s="33"/>
      <c r="G762" s="30"/>
      <c r="I762" s="32"/>
    </row>
    <row r="763" spans="2:9" x14ac:dyDescent="0.3">
      <c r="B763" s="33"/>
      <c r="D763" s="63"/>
      <c r="E763" s="63"/>
      <c r="F763" s="33"/>
      <c r="G763" s="30"/>
      <c r="I763" s="32"/>
    </row>
    <row r="764" spans="2:9" x14ac:dyDescent="0.3">
      <c r="B764" s="33"/>
      <c r="D764" s="63"/>
      <c r="E764" s="63"/>
      <c r="F764" s="33"/>
      <c r="G764" s="30"/>
      <c r="I764" s="32"/>
    </row>
    <row r="765" spans="2:9" x14ac:dyDescent="0.3">
      <c r="B765" s="33"/>
      <c r="D765" s="63"/>
      <c r="E765" s="63"/>
      <c r="F765" s="33"/>
      <c r="G765" s="30"/>
      <c r="I765" s="32"/>
    </row>
    <row r="766" spans="2:9" x14ac:dyDescent="0.3">
      <c r="B766" s="33"/>
      <c r="D766" s="63"/>
      <c r="E766" s="63"/>
      <c r="F766" s="33"/>
      <c r="G766" s="30"/>
      <c r="I766" s="32"/>
    </row>
    <row r="767" spans="2:9" x14ac:dyDescent="0.3">
      <c r="B767" s="33"/>
      <c r="D767" s="63"/>
      <c r="E767" s="63"/>
      <c r="F767" s="33"/>
      <c r="G767" s="30"/>
      <c r="I767" s="32"/>
    </row>
    <row r="768" spans="2:9" x14ac:dyDescent="0.3">
      <c r="B768" s="33"/>
      <c r="D768" s="63"/>
      <c r="E768" s="63"/>
      <c r="F768" s="33"/>
      <c r="G768" s="30"/>
      <c r="I768" s="32"/>
    </row>
    <row r="769" spans="2:9" x14ac:dyDescent="0.3">
      <c r="B769" s="33"/>
      <c r="D769" s="63"/>
      <c r="E769" s="63"/>
      <c r="F769" s="33"/>
      <c r="G769" s="30"/>
      <c r="I769" s="32"/>
    </row>
    <row r="770" spans="2:9" x14ac:dyDescent="0.3">
      <c r="B770" s="33"/>
      <c r="D770" s="63"/>
      <c r="E770" s="63"/>
      <c r="F770" s="33"/>
      <c r="G770" s="30"/>
      <c r="I770" s="32"/>
    </row>
    <row r="771" spans="2:9" x14ac:dyDescent="0.3">
      <c r="B771" s="33"/>
      <c r="D771" s="63"/>
      <c r="E771" s="63"/>
      <c r="F771" s="33"/>
      <c r="G771" s="30"/>
      <c r="I771" s="32"/>
    </row>
    <row r="772" spans="2:9" x14ac:dyDescent="0.3">
      <c r="B772" s="33"/>
      <c r="D772" s="63"/>
      <c r="E772" s="63"/>
      <c r="F772" s="33"/>
      <c r="G772" s="30"/>
      <c r="I772" s="32"/>
    </row>
    <row r="773" spans="2:9" x14ac:dyDescent="0.3">
      <c r="B773" s="33"/>
      <c r="D773" s="63"/>
      <c r="E773" s="63"/>
      <c r="F773" s="33"/>
      <c r="G773" s="30"/>
      <c r="I773" s="32"/>
    </row>
    <row r="774" spans="2:9" x14ac:dyDescent="0.3">
      <c r="B774" s="33"/>
      <c r="D774" s="63"/>
      <c r="E774" s="63"/>
      <c r="F774" s="33"/>
      <c r="G774" s="30"/>
      <c r="I774" s="32"/>
    </row>
    <row r="775" spans="2:9" x14ac:dyDescent="0.3">
      <c r="B775" s="33"/>
      <c r="D775" s="63"/>
      <c r="E775" s="63"/>
      <c r="F775" s="33"/>
      <c r="G775" s="30"/>
      <c r="I775" s="32"/>
    </row>
    <row r="776" spans="2:9" x14ac:dyDescent="0.3">
      <c r="B776" s="33"/>
      <c r="D776" s="63"/>
      <c r="E776" s="63"/>
      <c r="F776" s="33"/>
      <c r="G776" s="30"/>
      <c r="I776" s="32"/>
    </row>
    <row r="777" spans="2:9" x14ac:dyDescent="0.3">
      <c r="B777" s="33"/>
      <c r="D777" s="63"/>
      <c r="E777" s="63"/>
      <c r="F777" s="33"/>
      <c r="G777" s="30"/>
      <c r="I777" s="32"/>
    </row>
    <row r="778" spans="2:9" x14ac:dyDescent="0.3">
      <c r="B778" s="33"/>
      <c r="D778" s="63"/>
      <c r="E778" s="63"/>
      <c r="F778" s="33"/>
      <c r="G778" s="30"/>
      <c r="I778" s="32"/>
    </row>
    <row r="779" spans="2:9" x14ac:dyDescent="0.3">
      <c r="B779" s="33"/>
      <c r="D779" s="63"/>
      <c r="E779" s="63"/>
      <c r="F779" s="33"/>
      <c r="G779" s="30"/>
      <c r="I779" s="32"/>
    </row>
    <row r="780" spans="2:9" x14ac:dyDescent="0.3">
      <c r="B780" s="33"/>
      <c r="D780" s="63"/>
      <c r="E780" s="63"/>
      <c r="F780" s="33"/>
      <c r="G780" s="30"/>
      <c r="I780" s="32"/>
    </row>
    <row r="781" spans="2:9" x14ac:dyDescent="0.3">
      <c r="B781" s="33"/>
      <c r="D781" s="63"/>
      <c r="E781" s="63"/>
      <c r="F781" s="33"/>
      <c r="G781" s="30"/>
      <c r="I781" s="32"/>
    </row>
    <row r="782" spans="2:9" x14ac:dyDescent="0.3">
      <c r="B782" s="33"/>
      <c r="D782" s="63"/>
      <c r="E782" s="63"/>
      <c r="F782" s="33"/>
      <c r="G782" s="30"/>
      <c r="I782" s="32"/>
    </row>
    <row r="783" spans="2:9" x14ac:dyDescent="0.3">
      <c r="B783" s="33"/>
      <c r="D783" s="63"/>
      <c r="E783" s="63"/>
      <c r="F783" s="33"/>
      <c r="G783" s="30"/>
      <c r="I783" s="32"/>
    </row>
    <row r="784" spans="2:9" x14ac:dyDescent="0.3">
      <c r="B784" s="33"/>
      <c r="D784" s="63"/>
      <c r="E784" s="63"/>
      <c r="F784" s="33"/>
      <c r="G784" s="30"/>
      <c r="I784" s="32"/>
    </row>
    <row r="785" spans="2:9" x14ac:dyDescent="0.3">
      <c r="B785" s="33"/>
      <c r="D785" s="63"/>
      <c r="E785" s="63"/>
      <c r="F785" s="33"/>
      <c r="G785" s="30"/>
      <c r="I785" s="32"/>
    </row>
    <row r="786" spans="2:9" x14ac:dyDescent="0.3">
      <c r="B786" s="33"/>
      <c r="D786" s="63"/>
      <c r="E786" s="63"/>
      <c r="F786" s="33"/>
      <c r="G786" s="30"/>
      <c r="I786" s="32"/>
    </row>
    <row r="787" spans="2:9" x14ac:dyDescent="0.3">
      <c r="B787" s="33"/>
      <c r="D787" s="63"/>
      <c r="E787" s="63"/>
      <c r="F787" s="33"/>
      <c r="G787" s="30"/>
      <c r="I787" s="32"/>
    </row>
    <row r="788" spans="2:9" x14ac:dyDescent="0.3">
      <c r="B788" s="33"/>
      <c r="D788" s="63"/>
      <c r="E788" s="63"/>
      <c r="F788" s="33"/>
      <c r="G788" s="30"/>
      <c r="I788" s="32"/>
    </row>
    <row r="789" spans="2:9" x14ac:dyDescent="0.3">
      <c r="B789" s="33"/>
      <c r="D789" s="63"/>
      <c r="E789" s="63"/>
      <c r="F789" s="33"/>
      <c r="G789" s="30"/>
      <c r="I789" s="32"/>
    </row>
    <row r="790" spans="2:9" x14ac:dyDescent="0.3">
      <c r="B790" s="33"/>
      <c r="D790" s="63"/>
      <c r="E790" s="63"/>
      <c r="F790" s="33"/>
      <c r="G790" s="30"/>
      <c r="I790" s="32"/>
    </row>
    <row r="791" spans="2:9" x14ac:dyDescent="0.3">
      <c r="B791" s="33"/>
      <c r="D791" s="63"/>
      <c r="E791" s="63"/>
      <c r="F791" s="33"/>
      <c r="G791" s="30"/>
      <c r="I791" s="32"/>
    </row>
    <row r="792" spans="2:9" x14ac:dyDescent="0.3">
      <c r="B792" s="33"/>
      <c r="D792" s="63"/>
      <c r="E792" s="63"/>
      <c r="F792" s="33"/>
      <c r="G792" s="30"/>
      <c r="I792" s="32"/>
    </row>
    <row r="793" spans="2:9" x14ac:dyDescent="0.3">
      <c r="B793" s="33"/>
      <c r="D793" s="63"/>
      <c r="E793" s="63"/>
      <c r="F793" s="33"/>
      <c r="G793" s="30"/>
      <c r="I793" s="32"/>
    </row>
    <row r="794" spans="2:9" x14ac:dyDescent="0.3">
      <c r="B794" s="33"/>
      <c r="D794" s="63"/>
      <c r="E794" s="63"/>
      <c r="F794" s="33"/>
      <c r="G794" s="30"/>
      <c r="I794" s="32"/>
    </row>
    <row r="795" spans="2:9" x14ac:dyDescent="0.3">
      <c r="B795" s="33"/>
      <c r="D795" s="63"/>
      <c r="E795" s="63"/>
      <c r="F795" s="33"/>
      <c r="G795" s="30"/>
      <c r="I795" s="32"/>
    </row>
    <row r="796" spans="2:9" x14ac:dyDescent="0.3">
      <c r="B796" s="33"/>
      <c r="D796" s="63"/>
      <c r="E796" s="63"/>
      <c r="F796" s="33"/>
      <c r="G796" s="30"/>
      <c r="I796" s="32"/>
    </row>
    <row r="797" spans="2:9" x14ac:dyDescent="0.3">
      <c r="B797" s="33"/>
      <c r="D797" s="63"/>
      <c r="E797" s="63"/>
      <c r="F797" s="33"/>
      <c r="G797" s="30"/>
      <c r="I797" s="32"/>
    </row>
    <row r="798" spans="2:9" x14ac:dyDescent="0.3">
      <c r="B798" s="33"/>
      <c r="D798" s="63"/>
      <c r="E798" s="63"/>
      <c r="F798" s="33"/>
      <c r="G798" s="30"/>
      <c r="I798" s="32"/>
    </row>
    <row r="799" spans="2:9" x14ac:dyDescent="0.3">
      <c r="B799" s="33"/>
      <c r="D799" s="63"/>
      <c r="E799" s="63"/>
      <c r="F799" s="33"/>
      <c r="G799" s="30"/>
      <c r="I799" s="32"/>
    </row>
    <row r="800" spans="2:9" x14ac:dyDescent="0.3">
      <c r="B800" s="33"/>
      <c r="D800" s="63"/>
      <c r="E800" s="63"/>
      <c r="F800" s="33"/>
      <c r="G800" s="30"/>
      <c r="I800" s="32"/>
    </row>
    <row r="801" spans="2:9" x14ac:dyDescent="0.3">
      <c r="B801" s="33"/>
      <c r="D801" s="63"/>
      <c r="E801" s="63"/>
      <c r="F801" s="33"/>
      <c r="G801" s="30"/>
      <c r="I801" s="32"/>
    </row>
    <row r="802" spans="2:9" x14ac:dyDescent="0.3">
      <c r="B802" s="33"/>
      <c r="D802" s="63"/>
      <c r="E802" s="63"/>
      <c r="F802" s="33"/>
      <c r="G802" s="30"/>
      <c r="I802" s="32"/>
    </row>
    <row r="803" spans="2:9" x14ac:dyDescent="0.3">
      <c r="B803" s="33"/>
      <c r="D803" s="63"/>
      <c r="E803" s="63"/>
      <c r="F803" s="33"/>
      <c r="G803" s="30"/>
      <c r="I803" s="32"/>
    </row>
    <row r="804" spans="2:9" x14ac:dyDescent="0.3">
      <c r="B804" s="33"/>
      <c r="D804" s="63"/>
      <c r="E804" s="63"/>
      <c r="F804" s="33"/>
      <c r="G804" s="30"/>
      <c r="I804" s="32"/>
    </row>
    <row r="805" spans="2:9" x14ac:dyDescent="0.3">
      <c r="B805" s="33"/>
      <c r="D805" s="63"/>
      <c r="E805" s="63"/>
      <c r="F805" s="33"/>
      <c r="G805" s="30"/>
      <c r="I805" s="32"/>
    </row>
    <row r="806" spans="2:9" x14ac:dyDescent="0.3">
      <c r="B806" s="33"/>
      <c r="D806" s="63"/>
      <c r="E806" s="63"/>
      <c r="F806" s="33"/>
      <c r="G806" s="30"/>
      <c r="I806" s="32"/>
    </row>
    <row r="807" spans="2:9" x14ac:dyDescent="0.3">
      <c r="B807" s="33"/>
      <c r="D807" s="63"/>
      <c r="E807" s="63"/>
      <c r="F807" s="33"/>
      <c r="G807" s="30"/>
      <c r="I807" s="32"/>
    </row>
    <row r="808" spans="2:9" x14ac:dyDescent="0.3">
      <c r="B808" s="33"/>
      <c r="D808" s="63"/>
      <c r="E808" s="63"/>
      <c r="F808" s="33"/>
      <c r="G808" s="30"/>
      <c r="I808" s="32"/>
    </row>
    <row r="809" spans="2:9" x14ac:dyDescent="0.3">
      <c r="B809" s="33"/>
      <c r="D809" s="63"/>
      <c r="E809" s="63"/>
      <c r="F809" s="33"/>
      <c r="G809" s="30"/>
      <c r="I809" s="32"/>
    </row>
    <row r="810" spans="2:9" x14ac:dyDescent="0.3">
      <c r="B810" s="33"/>
      <c r="D810" s="63"/>
      <c r="E810" s="63"/>
      <c r="F810" s="33"/>
      <c r="G810" s="30"/>
      <c r="I810" s="32"/>
    </row>
    <row r="811" spans="2:9" x14ac:dyDescent="0.3">
      <c r="B811" s="33"/>
      <c r="D811" s="63"/>
      <c r="E811" s="63"/>
      <c r="F811" s="33"/>
      <c r="G811" s="30"/>
      <c r="I811" s="32"/>
    </row>
    <row r="812" spans="2:9" x14ac:dyDescent="0.3">
      <c r="B812" s="33"/>
      <c r="D812" s="63"/>
      <c r="E812" s="63"/>
      <c r="F812" s="33"/>
      <c r="G812" s="30"/>
      <c r="I812" s="32"/>
    </row>
    <row r="813" spans="2:9" x14ac:dyDescent="0.3">
      <c r="B813" s="33"/>
      <c r="D813" s="63"/>
      <c r="E813" s="63"/>
      <c r="F813" s="33"/>
      <c r="G813" s="30"/>
      <c r="I813" s="32"/>
    </row>
    <row r="814" spans="2:9" x14ac:dyDescent="0.3">
      <c r="B814" s="33"/>
      <c r="D814" s="63"/>
      <c r="E814" s="63"/>
      <c r="F814" s="33"/>
      <c r="G814" s="30"/>
      <c r="I814" s="32"/>
    </row>
    <row r="815" spans="2:9" x14ac:dyDescent="0.3">
      <c r="B815" s="33"/>
      <c r="D815" s="63"/>
      <c r="E815" s="63"/>
      <c r="F815" s="33"/>
      <c r="G815" s="30"/>
      <c r="I815" s="32"/>
    </row>
    <row r="816" spans="2:9" x14ac:dyDescent="0.3">
      <c r="B816" s="33"/>
      <c r="D816" s="63"/>
      <c r="E816" s="63"/>
      <c r="F816" s="33"/>
      <c r="G816" s="30"/>
      <c r="I816" s="32"/>
    </row>
    <row r="817" spans="2:9" x14ac:dyDescent="0.3">
      <c r="B817" s="33"/>
      <c r="D817" s="63"/>
      <c r="E817" s="63"/>
      <c r="F817" s="33"/>
      <c r="G817" s="30"/>
      <c r="I817" s="32"/>
    </row>
    <row r="818" spans="2:9" x14ac:dyDescent="0.3">
      <c r="B818" s="33"/>
      <c r="D818" s="63"/>
      <c r="E818" s="63"/>
      <c r="F818" s="33"/>
      <c r="G818" s="30"/>
      <c r="I818" s="32"/>
    </row>
    <row r="819" spans="2:9" x14ac:dyDescent="0.3">
      <c r="B819" s="33"/>
      <c r="D819" s="63"/>
      <c r="E819" s="63"/>
      <c r="F819" s="33"/>
      <c r="G819" s="30"/>
      <c r="I819" s="32"/>
    </row>
    <row r="820" spans="2:9" x14ac:dyDescent="0.3">
      <c r="B820" s="33"/>
      <c r="D820" s="63"/>
      <c r="E820" s="63"/>
      <c r="F820" s="33"/>
      <c r="G820" s="30"/>
      <c r="I820" s="32"/>
    </row>
    <row r="821" spans="2:9" x14ac:dyDescent="0.3">
      <c r="B821" s="33"/>
      <c r="D821" s="63"/>
      <c r="E821" s="63"/>
      <c r="F821" s="33"/>
      <c r="G821" s="30"/>
      <c r="I821" s="32"/>
    </row>
    <row r="822" spans="2:9" x14ac:dyDescent="0.3">
      <c r="B822" s="33"/>
      <c r="D822" s="63"/>
      <c r="E822" s="63"/>
      <c r="F822" s="33"/>
      <c r="G822" s="30"/>
      <c r="I822" s="32"/>
    </row>
    <row r="823" spans="2:9" x14ac:dyDescent="0.3">
      <c r="B823" s="33"/>
      <c r="D823" s="63"/>
      <c r="E823" s="63"/>
      <c r="F823" s="33"/>
      <c r="G823" s="30"/>
      <c r="I823" s="32"/>
    </row>
    <row r="824" spans="2:9" x14ac:dyDescent="0.3">
      <c r="B824" s="33"/>
      <c r="D824" s="63"/>
      <c r="E824" s="63"/>
      <c r="F824" s="33"/>
      <c r="G824" s="30"/>
      <c r="I824" s="32"/>
    </row>
    <row r="825" spans="2:9" x14ac:dyDescent="0.3">
      <c r="B825" s="33"/>
      <c r="D825" s="63"/>
      <c r="E825" s="63"/>
      <c r="F825" s="33"/>
      <c r="G825" s="30"/>
      <c r="I825" s="32"/>
    </row>
    <row r="826" spans="2:9" x14ac:dyDescent="0.3">
      <c r="B826" s="33"/>
      <c r="D826" s="63"/>
      <c r="E826" s="63"/>
      <c r="F826" s="33"/>
      <c r="G826" s="30"/>
      <c r="I826" s="32"/>
    </row>
    <row r="827" spans="2:9" x14ac:dyDescent="0.3">
      <c r="B827" s="33"/>
      <c r="D827" s="63"/>
      <c r="E827" s="63"/>
      <c r="F827" s="33"/>
      <c r="G827" s="30"/>
      <c r="I827" s="32"/>
    </row>
    <row r="828" spans="2:9" x14ac:dyDescent="0.3">
      <c r="B828" s="33"/>
      <c r="D828" s="63"/>
      <c r="E828" s="63"/>
      <c r="F828" s="33"/>
      <c r="G828" s="30"/>
      <c r="I828" s="32"/>
    </row>
    <row r="829" spans="2:9" x14ac:dyDescent="0.3">
      <c r="B829" s="33"/>
      <c r="D829" s="63"/>
      <c r="E829" s="63"/>
      <c r="F829" s="33"/>
      <c r="G829" s="30"/>
      <c r="I829" s="32"/>
    </row>
    <row r="830" spans="2:9" x14ac:dyDescent="0.3">
      <c r="B830" s="33"/>
      <c r="D830" s="63"/>
      <c r="E830" s="63"/>
      <c r="F830" s="33"/>
      <c r="G830" s="30"/>
      <c r="I830" s="32"/>
    </row>
    <row r="831" spans="2:9" x14ac:dyDescent="0.3">
      <c r="B831" s="33"/>
      <c r="D831" s="63"/>
      <c r="E831" s="63"/>
      <c r="F831" s="33"/>
      <c r="G831" s="30"/>
      <c r="I831" s="32"/>
    </row>
    <row r="832" spans="2:9" x14ac:dyDescent="0.3">
      <c r="B832" s="33"/>
      <c r="D832" s="63"/>
      <c r="E832" s="63"/>
      <c r="F832" s="33"/>
      <c r="G832" s="30"/>
      <c r="I832" s="32"/>
    </row>
    <row r="833" spans="2:9" x14ac:dyDescent="0.3">
      <c r="B833" s="33"/>
      <c r="D833" s="63"/>
      <c r="E833" s="63"/>
      <c r="F833" s="33"/>
      <c r="G833" s="30"/>
      <c r="I833" s="32"/>
    </row>
    <row r="834" spans="2:9" x14ac:dyDescent="0.3">
      <c r="B834" s="33"/>
      <c r="D834" s="63"/>
      <c r="E834" s="63"/>
      <c r="F834" s="33"/>
      <c r="G834" s="30"/>
      <c r="I834" s="32"/>
    </row>
    <row r="835" spans="2:9" x14ac:dyDescent="0.3">
      <c r="B835" s="33"/>
      <c r="D835" s="63"/>
      <c r="E835" s="63"/>
      <c r="F835" s="33"/>
      <c r="G835" s="30"/>
      <c r="I835" s="32"/>
    </row>
    <row r="836" spans="2:9" x14ac:dyDescent="0.3">
      <c r="B836" s="33"/>
      <c r="D836" s="63"/>
      <c r="E836" s="63"/>
      <c r="F836" s="33"/>
      <c r="G836" s="30"/>
      <c r="I836" s="32"/>
    </row>
    <row r="837" spans="2:9" x14ac:dyDescent="0.3">
      <c r="B837" s="33"/>
      <c r="D837" s="63"/>
      <c r="E837" s="63"/>
      <c r="F837" s="33"/>
      <c r="G837" s="30"/>
      <c r="I837" s="32"/>
    </row>
    <row r="838" spans="2:9" x14ac:dyDescent="0.3">
      <c r="B838" s="33"/>
      <c r="D838" s="63"/>
      <c r="E838" s="63"/>
      <c r="F838" s="33"/>
      <c r="G838" s="30"/>
      <c r="I838" s="32"/>
    </row>
    <row r="839" spans="2:9" x14ac:dyDescent="0.3">
      <c r="B839" s="33"/>
      <c r="D839" s="63"/>
      <c r="E839" s="63"/>
      <c r="F839" s="33"/>
      <c r="G839" s="30"/>
      <c r="I839" s="32"/>
    </row>
    <row r="840" spans="2:9" x14ac:dyDescent="0.3">
      <c r="B840" s="33"/>
      <c r="D840" s="63"/>
      <c r="E840" s="63"/>
      <c r="F840" s="33"/>
      <c r="G840" s="30"/>
      <c r="I840" s="32"/>
    </row>
    <row r="841" spans="2:9" x14ac:dyDescent="0.3">
      <c r="B841" s="33"/>
      <c r="D841" s="63"/>
      <c r="E841" s="63"/>
      <c r="F841" s="33"/>
      <c r="G841" s="30"/>
      <c r="I841" s="32"/>
    </row>
    <row r="842" spans="2:9" x14ac:dyDescent="0.3">
      <c r="B842" s="33"/>
      <c r="D842" s="63"/>
      <c r="E842" s="63"/>
      <c r="F842" s="33"/>
      <c r="G842" s="30"/>
      <c r="I842" s="32"/>
    </row>
    <row r="843" spans="2:9" x14ac:dyDescent="0.3">
      <c r="B843" s="33"/>
      <c r="D843" s="63"/>
      <c r="E843" s="63"/>
      <c r="F843" s="33"/>
      <c r="G843" s="30"/>
      <c r="I843" s="32"/>
    </row>
    <row r="844" spans="2:9" x14ac:dyDescent="0.3">
      <c r="B844" s="33"/>
      <c r="D844" s="63"/>
      <c r="E844" s="63"/>
      <c r="F844" s="33"/>
      <c r="G844" s="30"/>
      <c r="I844" s="32"/>
    </row>
    <row r="845" spans="2:9" x14ac:dyDescent="0.3">
      <c r="B845" s="33"/>
      <c r="D845" s="63"/>
      <c r="E845" s="63"/>
      <c r="F845" s="33"/>
      <c r="G845" s="30"/>
      <c r="I845" s="32"/>
    </row>
    <row r="846" spans="2:9" x14ac:dyDescent="0.3">
      <c r="B846" s="33"/>
      <c r="D846" s="63"/>
      <c r="E846" s="63"/>
      <c r="F846" s="33"/>
      <c r="G846" s="30"/>
      <c r="I846" s="32"/>
    </row>
    <row r="847" spans="2:9" x14ac:dyDescent="0.3">
      <c r="B847" s="33"/>
      <c r="D847" s="63"/>
      <c r="E847" s="63"/>
      <c r="F847" s="33"/>
      <c r="G847" s="30"/>
      <c r="I847" s="32"/>
    </row>
    <row r="848" spans="2:9" x14ac:dyDescent="0.3">
      <c r="B848" s="33"/>
      <c r="D848" s="63"/>
      <c r="E848" s="63"/>
      <c r="F848" s="33"/>
      <c r="G848" s="30"/>
      <c r="I848" s="32"/>
    </row>
    <row r="849" spans="2:9" x14ac:dyDescent="0.3">
      <c r="B849" s="33"/>
      <c r="D849" s="63"/>
      <c r="E849" s="63"/>
      <c r="F849" s="33"/>
      <c r="G849" s="30"/>
      <c r="I849" s="32"/>
    </row>
    <row r="850" spans="2:9" x14ac:dyDescent="0.3">
      <c r="B850" s="33"/>
      <c r="D850" s="63"/>
      <c r="E850" s="63"/>
      <c r="F850" s="33"/>
      <c r="G850" s="30"/>
      <c r="I850" s="32"/>
    </row>
    <row r="851" spans="2:9" x14ac:dyDescent="0.3">
      <c r="B851" s="33"/>
      <c r="D851" s="63"/>
      <c r="E851" s="63"/>
      <c r="F851" s="33"/>
      <c r="G851" s="30"/>
      <c r="I851" s="32"/>
    </row>
    <row r="852" spans="2:9" x14ac:dyDescent="0.3">
      <c r="B852" s="33"/>
      <c r="D852" s="63"/>
      <c r="E852" s="63"/>
      <c r="F852" s="33"/>
      <c r="G852" s="30"/>
      <c r="I852" s="32"/>
    </row>
    <row r="853" spans="2:9" x14ac:dyDescent="0.3">
      <c r="B853" s="33"/>
      <c r="D853" s="63"/>
      <c r="E853" s="63"/>
      <c r="F853" s="33"/>
      <c r="G853" s="30"/>
      <c r="I853" s="32"/>
    </row>
    <row r="854" spans="2:9" x14ac:dyDescent="0.3">
      <c r="B854" s="33"/>
      <c r="D854" s="63"/>
      <c r="E854" s="63"/>
      <c r="F854" s="33"/>
      <c r="G854" s="30"/>
      <c r="I854" s="32"/>
    </row>
    <row r="855" spans="2:9" x14ac:dyDescent="0.3">
      <c r="B855" s="33"/>
      <c r="D855" s="63"/>
      <c r="E855" s="63"/>
      <c r="F855" s="33"/>
      <c r="G855" s="30"/>
      <c r="I855" s="32"/>
    </row>
    <row r="856" spans="2:9" x14ac:dyDescent="0.3">
      <c r="B856" s="33"/>
      <c r="D856" s="63"/>
      <c r="E856" s="63"/>
      <c r="F856" s="33"/>
      <c r="G856" s="30"/>
      <c r="I856" s="32"/>
    </row>
    <row r="857" spans="2:9" x14ac:dyDescent="0.3">
      <c r="B857" s="33"/>
      <c r="D857" s="63"/>
      <c r="E857" s="63"/>
      <c r="F857" s="33"/>
      <c r="G857" s="30"/>
      <c r="I857" s="32"/>
    </row>
    <row r="858" spans="2:9" x14ac:dyDescent="0.3">
      <c r="B858" s="33"/>
      <c r="D858" s="63"/>
      <c r="E858" s="63"/>
      <c r="F858" s="33"/>
      <c r="G858" s="30"/>
      <c r="I858" s="32"/>
    </row>
    <row r="859" spans="2:9" x14ac:dyDescent="0.3">
      <c r="B859" s="33"/>
      <c r="D859" s="63"/>
      <c r="E859" s="63"/>
      <c r="F859" s="33"/>
      <c r="G859" s="30"/>
      <c r="I859" s="32"/>
    </row>
    <row r="860" spans="2:9" x14ac:dyDescent="0.3">
      <c r="B860" s="33"/>
      <c r="D860" s="63"/>
      <c r="E860" s="63"/>
      <c r="F860" s="33"/>
      <c r="G860" s="30"/>
      <c r="I860" s="32"/>
    </row>
    <row r="861" spans="2:9" x14ac:dyDescent="0.3">
      <c r="B861" s="33"/>
      <c r="D861" s="63"/>
      <c r="E861" s="63"/>
      <c r="F861" s="33"/>
      <c r="G861" s="30"/>
      <c r="I861" s="32"/>
    </row>
    <row r="862" spans="2:9" x14ac:dyDescent="0.3">
      <c r="B862" s="33"/>
      <c r="D862" s="63"/>
      <c r="E862" s="63"/>
      <c r="F862" s="33"/>
      <c r="G862" s="30"/>
      <c r="I862" s="32"/>
    </row>
    <row r="863" spans="2:9" x14ac:dyDescent="0.3">
      <c r="B863" s="33"/>
      <c r="D863" s="63"/>
      <c r="E863" s="63"/>
      <c r="F863" s="33"/>
      <c r="G863" s="30"/>
      <c r="I863" s="32"/>
    </row>
    <row r="864" spans="2:9" x14ac:dyDescent="0.3">
      <c r="B864" s="33"/>
      <c r="D864" s="63"/>
      <c r="E864" s="63"/>
      <c r="F864" s="33"/>
      <c r="G864" s="30"/>
      <c r="I864" s="32"/>
    </row>
    <row r="865" spans="2:9" x14ac:dyDescent="0.3">
      <c r="B865" s="33"/>
      <c r="D865" s="63"/>
      <c r="E865" s="63"/>
      <c r="F865" s="33"/>
      <c r="G865" s="30"/>
      <c r="I865" s="32"/>
    </row>
    <row r="866" spans="2:9" x14ac:dyDescent="0.3">
      <c r="B866" s="33"/>
      <c r="D866" s="63"/>
      <c r="E866" s="63"/>
      <c r="F866" s="33"/>
      <c r="G866" s="30"/>
      <c r="I866" s="32"/>
    </row>
    <row r="867" spans="2:9" x14ac:dyDescent="0.3">
      <c r="B867" s="33"/>
      <c r="D867" s="63"/>
      <c r="E867" s="63"/>
      <c r="F867" s="33"/>
      <c r="G867" s="30"/>
      <c r="I867" s="32"/>
    </row>
    <row r="868" spans="2:9" x14ac:dyDescent="0.3">
      <c r="B868" s="33"/>
      <c r="D868" s="63"/>
      <c r="E868" s="63"/>
      <c r="F868" s="33"/>
      <c r="G868" s="30"/>
      <c r="I868" s="32"/>
    </row>
    <row r="869" spans="2:9" x14ac:dyDescent="0.3">
      <c r="B869" s="33"/>
      <c r="D869" s="63"/>
      <c r="E869" s="63"/>
      <c r="F869" s="33"/>
      <c r="G869" s="30"/>
      <c r="I869" s="32"/>
    </row>
    <row r="870" spans="2:9" x14ac:dyDescent="0.3">
      <c r="B870" s="33"/>
      <c r="D870" s="63"/>
      <c r="E870" s="63"/>
      <c r="F870" s="33"/>
      <c r="G870" s="30"/>
      <c r="I870" s="32"/>
    </row>
    <row r="871" spans="2:9" x14ac:dyDescent="0.3">
      <c r="B871" s="33"/>
      <c r="D871" s="63"/>
      <c r="E871" s="63"/>
      <c r="F871" s="33"/>
      <c r="G871" s="30"/>
      <c r="I871" s="32"/>
    </row>
    <row r="872" spans="2:9" x14ac:dyDescent="0.3">
      <c r="B872" s="33"/>
      <c r="D872" s="63"/>
      <c r="E872" s="63"/>
      <c r="F872" s="33"/>
      <c r="G872" s="30"/>
      <c r="I872" s="32"/>
    </row>
    <row r="873" spans="2:9" x14ac:dyDescent="0.3">
      <c r="B873" s="33"/>
      <c r="D873" s="63"/>
      <c r="E873" s="63"/>
      <c r="F873" s="33"/>
      <c r="G873" s="30"/>
      <c r="I873" s="32"/>
    </row>
    <row r="874" spans="2:9" x14ac:dyDescent="0.3">
      <c r="B874" s="33"/>
      <c r="D874" s="63"/>
      <c r="E874" s="63"/>
      <c r="F874" s="33"/>
      <c r="G874" s="30"/>
      <c r="I874" s="32"/>
    </row>
    <row r="875" spans="2:9" x14ac:dyDescent="0.3">
      <c r="B875" s="33"/>
      <c r="D875" s="63"/>
      <c r="E875" s="63"/>
      <c r="F875" s="33"/>
      <c r="G875" s="30"/>
      <c r="I875" s="32"/>
    </row>
    <row r="876" spans="2:9" x14ac:dyDescent="0.3">
      <c r="B876" s="33"/>
      <c r="D876" s="63"/>
      <c r="E876" s="63"/>
      <c r="F876" s="33"/>
      <c r="G876" s="30"/>
      <c r="I876" s="32"/>
    </row>
    <row r="877" spans="2:9" x14ac:dyDescent="0.3">
      <c r="B877" s="33"/>
      <c r="D877" s="63"/>
      <c r="E877" s="63"/>
      <c r="F877" s="33"/>
      <c r="G877" s="30"/>
      <c r="I877" s="32"/>
    </row>
    <row r="878" spans="2:9" x14ac:dyDescent="0.3">
      <c r="B878" s="33"/>
      <c r="D878" s="63"/>
      <c r="E878" s="63"/>
      <c r="F878" s="33"/>
      <c r="G878" s="30"/>
      <c r="I878" s="32"/>
    </row>
    <row r="879" spans="2:9" x14ac:dyDescent="0.3">
      <c r="B879" s="33"/>
      <c r="D879" s="63"/>
      <c r="E879" s="63"/>
      <c r="F879" s="33"/>
      <c r="G879" s="30"/>
      <c r="I879" s="32"/>
    </row>
    <row r="880" spans="2:9" x14ac:dyDescent="0.3">
      <c r="B880" s="33"/>
      <c r="D880" s="63"/>
      <c r="E880" s="63"/>
      <c r="F880" s="33"/>
      <c r="G880" s="30"/>
      <c r="I880" s="32"/>
    </row>
    <row r="881" spans="2:9" x14ac:dyDescent="0.3">
      <c r="B881" s="33"/>
      <c r="D881" s="63"/>
      <c r="E881" s="63"/>
      <c r="F881" s="33"/>
      <c r="G881" s="30"/>
      <c r="I881" s="32"/>
    </row>
    <row r="882" spans="2:9" x14ac:dyDescent="0.3">
      <c r="B882" s="33"/>
      <c r="D882" s="63"/>
      <c r="E882" s="63"/>
      <c r="F882" s="33"/>
      <c r="G882" s="30"/>
      <c r="I882" s="32"/>
    </row>
    <row r="883" spans="2:9" x14ac:dyDescent="0.3">
      <c r="B883" s="33"/>
      <c r="D883" s="63"/>
      <c r="E883" s="63"/>
      <c r="F883" s="33"/>
      <c r="G883" s="30"/>
      <c r="I883" s="32"/>
    </row>
    <row r="884" spans="2:9" x14ac:dyDescent="0.3">
      <c r="B884" s="33"/>
      <c r="D884" s="63"/>
      <c r="E884" s="63"/>
      <c r="F884" s="33"/>
      <c r="G884" s="30"/>
      <c r="I884" s="32"/>
    </row>
    <row r="885" spans="2:9" x14ac:dyDescent="0.3">
      <c r="B885" s="33"/>
      <c r="D885" s="63"/>
      <c r="E885" s="63"/>
      <c r="F885" s="33"/>
      <c r="G885" s="30"/>
      <c r="I885" s="32"/>
    </row>
    <row r="886" spans="2:9" x14ac:dyDescent="0.3">
      <c r="B886" s="33"/>
      <c r="D886" s="63"/>
      <c r="E886" s="63"/>
      <c r="F886" s="33"/>
      <c r="G886" s="30"/>
      <c r="I886" s="32"/>
    </row>
    <row r="887" spans="2:9" x14ac:dyDescent="0.3">
      <c r="B887" s="33"/>
      <c r="D887" s="63"/>
      <c r="E887" s="63"/>
      <c r="F887" s="33"/>
      <c r="G887" s="30"/>
      <c r="I887" s="32"/>
    </row>
    <row r="888" spans="2:9" x14ac:dyDescent="0.3">
      <c r="B888" s="33"/>
      <c r="D888" s="63"/>
      <c r="E888" s="63"/>
      <c r="F888" s="33"/>
      <c r="G888" s="30"/>
      <c r="I888" s="32"/>
    </row>
    <row r="889" spans="2:9" x14ac:dyDescent="0.3">
      <c r="B889" s="33"/>
      <c r="D889" s="63"/>
      <c r="E889" s="63"/>
      <c r="F889" s="33"/>
      <c r="G889" s="30"/>
      <c r="I889" s="32"/>
    </row>
    <row r="890" spans="2:9" x14ac:dyDescent="0.3">
      <c r="B890" s="33"/>
      <c r="D890" s="63"/>
      <c r="E890" s="63"/>
      <c r="F890" s="33"/>
      <c r="G890" s="30"/>
      <c r="I890" s="32"/>
    </row>
    <row r="891" spans="2:9" x14ac:dyDescent="0.3">
      <c r="B891" s="33"/>
      <c r="D891" s="63"/>
      <c r="E891" s="63"/>
      <c r="F891" s="33"/>
      <c r="G891" s="30"/>
      <c r="I891" s="32"/>
    </row>
    <row r="892" spans="2:9" x14ac:dyDescent="0.3">
      <c r="B892" s="33"/>
      <c r="D892" s="63"/>
      <c r="E892" s="63"/>
      <c r="F892" s="33"/>
      <c r="G892" s="30"/>
      <c r="I892" s="32"/>
    </row>
    <row r="893" spans="2:9" x14ac:dyDescent="0.3">
      <c r="B893" s="33"/>
      <c r="D893" s="63"/>
      <c r="E893" s="63"/>
      <c r="F893" s="33"/>
      <c r="G893" s="30"/>
      <c r="I893" s="32"/>
    </row>
    <row r="894" spans="2:9" x14ac:dyDescent="0.3">
      <c r="B894" s="33"/>
      <c r="D894" s="63"/>
      <c r="E894" s="63"/>
      <c r="F894" s="33"/>
      <c r="G894" s="30"/>
      <c r="I894" s="32"/>
    </row>
    <row r="895" spans="2:9" x14ac:dyDescent="0.3">
      <c r="B895" s="33"/>
      <c r="D895" s="63"/>
      <c r="E895" s="63"/>
      <c r="F895" s="33"/>
      <c r="G895" s="30"/>
      <c r="I895" s="32"/>
    </row>
    <row r="896" spans="2:9" x14ac:dyDescent="0.3">
      <c r="B896" s="33"/>
      <c r="D896" s="63"/>
      <c r="E896" s="63"/>
      <c r="F896" s="33"/>
      <c r="G896" s="30"/>
      <c r="I896" s="32"/>
    </row>
    <row r="897" spans="2:9" x14ac:dyDescent="0.3">
      <c r="B897" s="33"/>
      <c r="D897" s="63"/>
      <c r="E897" s="63"/>
      <c r="F897" s="33"/>
      <c r="G897" s="30"/>
      <c r="I897" s="32"/>
    </row>
    <row r="898" spans="2:9" x14ac:dyDescent="0.3">
      <c r="B898" s="33"/>
      <c r="D898" s="63"/>
      <c r="E898" s="63"/>
      <c r="F898" s="33"/>
      <c r="G898" s="30"/>
      <c r="I898" s="32"/>
    </row>
    <row r="899" spans="2:9" x14ac:dyDescent="0.3">
      <c r="B899" s="33"/>
      <c r="D899" s="63"/>
      <c r="E899" s="63"/>
      <c r="F899" s="33"/>
      <c r="G899" s="30"/>
      <c r="I899" s="32"/>
    </row>
    <row r="900" spans="2:9" x14ac:dyDescent="0.3">
      <c r="B900" s="33"/>
      <c r="D900" s="63"/>
      <c r="E900" s="63"/>
      <c r="F900" s="33"/>
      <c r="G900" s="30"/>
      <c r="I900" s="32"/>
    </row>
    <row r="901" spans="2:9" x14ac:dyDescent="0.3">
      <c r="B901" s="33"/>
      <c r="D901" s="63"/>
      <c r="E901" s="63"/>
      <c r="F901" s="33"/>
      <c r="G901" s="30"/>
      <c r="I901" s="32"/>
    </row>
    <row r="902" spans="2:9" x14ac:dyDescent="0.3">
      <c r="B902" s="33"/>
      <c r="D902" s="63"/>
      <c r="E902" s="63"/>
      <c r="F902" s="33"/>
      <c r="G902" s="30"/>
      <c r="I902" s="32"/>
    </row>
    <row r="903" spans="2:9" x14ac:dyDescent="0.3">
      <c r="B903" s="33"/>
      <c r="D903" s="63"/>
      <c r="E903" s="63"/>
      <c r="F903" s="33"/>
      <c r="G903" s="30"/>
      <c r="I903" s="32"/>
    </row>
    <row r="904" spans="2:9" x14ac:dyDescent="0.3">
      <c r="B904" s="33"/>
      <c r="D904" s="63"/>
      <c r="E904" s="63"/>
      <c r="F904" s="33"/>
      <c r="G904" s="30"/>
      <c r="I904" s="32"/>
    </row>
    <row r="905" spans="2:9" x14ac:dyDescent="0.3">
      <c r="B905" s="33"/>
      <c r="D905" s="63"/>
      <c r="E905" s="63"/>
      <c r="F905" s="33"/>
      <c r="G905" s="30"/>
      <c r="I905" s="32"/>
    </row>
    <row r="906" spans="2:9" x14ac:dyDescent="0.3">
      <c r="B906" s="33"/>
      <c r="D906" s="63"/>
      <c r="E906" s="63"/>
      <c r="F906" s="33"/>
      <c r="G906" s="30"/>
      <c r="I906" s="32"/>
    </row>
    <row r="907" spans="2:9" x14ac:dyDescent="0.3">
      <c r="B907" s="33"/>
      <c r="D907" s="63"/>
      <c r="E907" s="63"/>
      <c r="F907" s="33"/>
      <c r="G907" s="30"/>
      <c r="I907" s="32"/>
    </row>
    <row r="908" spans="2:9" x14ac:dyDescent="0.3">
      <c r="B908" s="33"/>
      <c r="D908" s="63"/>
      <c r="E908" s="63"/>
      <c r="F908" s="33"/>
      <c r="G908" s="30"/>
      <c r="I908" s="32"/>
    </row>
    <row r="909" spans="2:9" x14ac:dyDescent="0.3">
      <c r="B909" s="33"/>
      <c r="D909" s="63"/>
      <c r="E909" s="63"/>
      <c r="F909" s="33"/>
      <c r="G909" s="30"/>
      <c r="I909" s="32"/>
    </row>
    <row r="910" spans="2:9" x14ac:dyDescent="0.3">
      <c r="B910" s="33"/>
      <c r="D910" s="63"/>
      <c r="E910" s="63"/>
      <c r="F910" s="33"/>
      <c r="G910" s="30"/>
      <c r="I910" s="32"/>
    </row>
    <row r="911" spans="2:9" x14ac:dyDescent="0.3">
      <c r="B911" s="33"/>
      <c r="D911" s="63"/>
      <c r="E911" s="63"/>
      <c r="F911" s="33"/>
      <c r="G911" s="30"/>
      <c r="I911" s="32"/>
    </row>
    <row r="912" spans="2:9" x14ac:dyDescent="0.3">
      <c r="B912" s="33"/>
      <c r="D912" s="63"/>
      <c r="E912" s="63"/>
      <c r="F912" s="33"/>
      <c r="G912" s="30"/>
      <c r="I912" s="32"/>
    </row>
    <row r="913" spans="2:9" x14ac:dyDescent="0.3">
      <c r="B913" s="33"/>
      <c r="D913" s="63"/>
      <c r="E913" s="63"/>
      <c r="F913" s="33"/>
      <c r="G913" s="30"/>
      <c r="I913" s="32"/>
    </row>
    <row r="914" spans="2:9" x14ac:dyDescent="0.3">
      <c r="B914" s="33"/>
      <c r="D914" s="63"/>
      <c r="E914" s="63"/>
      <c r="F914" s="33"/>
      <c r="G914" s="30"/>
      <c r="I914" s="32"/>
    </row>
    <row r="915" spans="2:9" x14ac:dyDescent="0.3">
      <c r="B915" s="33"/>
      <c r="D915" s="63"/>
      <c r="E915" s="63"/>
      <c r="F915" s="33"/>
      <c r="G915" s="30"/>
      <c r="I915" s="32"/>
    </row>
    <row r="916" spans="2:9" x14ac:dyDescent="0.3">
      <c r="B916" s="33"/>
      <c r="D916" s="63"/>
      <c r="E916" s="63"/>
      <c r="F916" s="33"/>
      <c r="G916" s="30"/>
      <c r="I916" s="32"/>
    </row>
    <row r="917" spans="2:9" x14ac:dyDescent="0.3">
      <c r="B917" s="33"/>
      <c r="D917" s="63"/>
      <c r="E917" s="63"/>
      <c r="F917" s="33"/>
      <c r="G917" s="30"/>
      <c r="I917" s="32"/>
    </row>
    <row r="918" spans="2:9" x14ac:dyDescent="0.3">
      <c r="B918" s="33"/>
      <c r="D918" s="63"/>
      <c r="E918" s="63"/>
      <c r="F918" s="33"/>
      <c r="G918" s="30"/>
      <c r="I918" s="32"/>
    </row>
    <row r="919" spans="2:9" x14ac:dyDescent="0.3">
      <c r="B919" s="33"/>
      <c r="D919" s="63"/>
      <c r="E919" s="63"/>
      <c r="F919" s="33"/>
      <c r="G919" s="30"/>
      <c r="I919" s="32"/>
    </row>
    <row r="920" spans="2:9" x14ac:dyDescent="0.3">
      <c r="B920" s="33"/>
      <c r="D920" s="63"/>
      <c r="E920" s="63"/>
      <c r="F920" s="33"/>
      <c r="G920" s="30"/>
      <c r="I920" s="32"/>
    </row>
    <row r="921" spans="2:9" x14ac:dyDescent="0.3">
      <c r="B921" s="33"/>
      <c r="D921" s="63"/>
      <c r="E921" s="63"/>
      <c r="F921" s="33"/>
      <c r="G921" s="30"/>
      <c r="I921" s="32"/>
    </row>
    <row r="922" spans="2:9" x14ac:dyDescent="0.3">
      <c r="B922" s="33"/>
      <c r="D922" s="63"/>
      <c r="E922" s="63"/>
      <c r="F922" s="33"/>
      <c r="G922" s="30"/>
      <c r="I922" s="32"/>
    </row>
    <row r="923" spans="2:9" x14ac:dyDescent="0.3">
      <c r="B923" s="33"/>
      <c r="D923" s="63"/>
      <c r="E923" s="63"/>
      <c r="F923" s="33"/>
      <c r="G923" s="30"/>
      <c r="I923" s="32"/>
    </row>
    <row r="924" spans="2:9" x14ac:dyDescent="0.3">
      <c r="B924" s="33"/>
      <c r="D924" s="63"/>
      <c r="E924" s="63"/>
      <c r="F924" s="33"/>
      <c r="G924" s="30"/>
      <c r="I924" s="32"/>
    </row>
    <row r="925" spans="2:9" x14ac:dyDescent="0.3">
      <c r="B925" s="33"/>
      <c r="D925" s="63"/>
      <c r="E925" s="63"/>
      <c r="F925" s="33"/>
      <c r="G925" s="30"/>
      <c r="I925" s="32"/>
    </row>
    <row r="926" spans="2:9" x14ac:dyDescent="0.3">
      <c r="B926" s="33"/>
      <c r="D926" s="63"/>
      <c r="E926" s="63"/>
      <c r="F926" s="33"/>
      <c r="G926" s="30"/>
      <c r="I926" s="32"/>
    </row>
    <row r="927" spans="2:9" x14ac:dyDescent="0.3">
      <c r="B927" s="33"/>
      <c r="D927" s="63"/>
      <c r="E927" s="63"/>
      <c r="F927" s="33"/>
      <c r="G927" s="30"/>
      <c r="I927" s="32"/>
    </row>
    <row r="928" spans="2:9" x14ac:dyDescent="0.3">
      <c r="B928" s="33"/>
      <c r="D928" s="63"/>
      <c r="E928" s="63"/>
      <c r="F928" s="33"/>
      <c r="G928" s="30"/>
      <c r="I928" s="32"/>
    </row>
    <row r="929" spans="2:9" x14ac:dyDescent="0.3">
      <c r="B929" s="33"/>
      <c r="D929" s="63"/>
      <c r="E929" s="63"/>
      <c r="F929" s="33"/>
      <c r="G929" s="30"/>
      <c r="I929" s="32"/>
    </row>
    <row r="930" spans="2:9" x14ac:dyDescent="0.3">
      <c r="B930" s="33"/>
      <c r="D930" s="63"/>
      <c r="E930" s="63"/>
      <c r="F930" s="33"/>
      <c r="G930" s="30"/>
      <c r="I930" s="32"/>
    </row>
    <row r="931" spans="2:9" x14ac:dyDescent="0.3">
      <c r="B931" s="33"/>
      <c r="D931" s="63"/>
      <c r="E931" s="63"/>
      <c r="F931" s="33"/>
      <c r="G931" s="30"/>
      <c r="I931" s="32"/>
    </row>
    <row r="932" spans="2:9" x14ac:dyDescent="0.3">
      <c r="B932" s="33"/>
      <c r="D932" s="63"/>
      <c r="E932" s="63"/>
      <c r="F932" s="33"/>
      <c r="G932" s="30"/>
      <c r="I932" s="32"/>
    </row>
    <row r="933" spans="2:9" x14ac:dyDescent="0.3">
      <c r="B933" s="33"/>
      <c r="D933" s="63"/>
      <c r="E933" s="63"/>
      <c r="F933" s="33"/>
      <c r="G933" s="30"/>
      <c r="I933" s="32"/>
    </row>
    <row r="934" spans="2:9" x14ac:dyDescent="0.3">
      <c r="B934" s="33"/>
      <c r="D934" s="63"/>
      <c r="E934" s="63"/>
      <c r="F934" s="33"/>
      <c r="G934" s="30"/>
      <c r="I934" s="32"/>
    </row>
    <row r="935" spans="2:9" x14ac:dyDescent="0.3">
      <c r="B935" s="33"/>
      <c r="D935" s="63"/>
      <c r="E935" s="63"/>
      <c r="F935" s="33"/>
      <c r="G935" s="30"/>
      <c r="I935" s="32"/>
    </row>
    <row r="936" spans="2:9" x14ac:dyDescent="0.3">
      <c r="B936" s="33"/>
      <c r="D936" s="63"/>
      <c r="E936" s="63"/>
      <c r="F936" s="33"/>
      <c r="G936" s="30"/>
      <c r="I936" s="32"/>
    </row>
    <row r="937" spans="2:9" x14ac:dyDescent="0.3">
      <c r="B937" s="33"/>
      <c r="D937" s="63"/>
      <c r="E937" s="63"/>
      <c r="F937" s="33"/>
      <c r="G937" s="30"/>
      <c r="I937" s="32"/>
    </row>
    <row r="938" spans="2:9" x14ac:dyDescent="0.3">
      <c r="B938" s="33"/>
      <c r="D938" s="63"/>
      <c r="E938" s="63"/>
      <c r="F938" s="33"/>
      <c r="G938" s="30"/>
      <c r="I938" s="32"/>
    </row>
    <row r="939" spans="2:9" x14ac:dyDescent="0.3">
      <c r="B939" s="33"/>
      <c r="D939" s="63"/>
      <c r="E939" s="63"/>
      <c r="F939" s="33"/>
      <c r="G939" s="30"/>
      <c r="I939" s="32"/>
    </row>
    <row r="940" spans="2:9" x14ac:dyDescent="0.3">
      <c r="B940" s="33"/>
      <c r="D940" s="63"/>
      <c r="E940" s="63"/>
      <c r="F940" s="33"/>
      <c r="G940" s="30"/>
      <c r="I940" s="32"/>
    </row>
    <row r="941" spans="2:9" x14ac:dyDescent="0.3">
      <c r="B941" s="33"/>
      <c r="D941" s="63"/>
      <c r="E941" s="63"/>
      <c r="F941" s="33"/>
      <c r="G941" s="30"/>
      <c r="I941" s="32"/>
    </row>
    <row r="942" spans="2:9" x14ac:dyDescent="0.3">
      <c r="B942" s="33"/>
      <c r="D942" s="63"/>
      <c r="E942" s="63"/>
      <c r="F942" s="33"/>
      <c r="G942" s="30"/>
      <c r="I942" s="32"/>
    </row>
    <row r="943" spans="2:9" x14ac:dyDescent="0.3">
      <c r="B943" s="33"/>
      <c r="D943" s="63"/>
      <c r="E943" s="63"/>
      <c r="F943" s="33"/>
      <c r="G943" s="30"/>
      <c r="I943" s="32"/>
    </row>
    <row r="944" spans="2:9" x14ac:dyDescent="0.3">
      <c r="B944" s="33"/>
      <c r="D944" s="63"/>
      <c r="E944" s="63"/>
      <c r="F944" s="33"/>
      <c r="G944" s="30"/>
      <c r="I944" s="32"/>
    </row>
    <row r="945" spans="2:9" x14ac:dyDescent="0.3">
      <c r="B945" s="33"/>
      <c r="D945" s="63"/>
      <c r="E945" s="63"/>
      <c r="F945" s="33"/>
      <c r="G945" s="30"/>
      <c r="I945" s="32"/>
    </row>
    <row r="946" spans="2:9" x14ac:dyDescent="0.3">
      <c r="B946" s="33"/>
      <c r="D946" s="63"/>
      <c r="E946" s="63"/>
      <c r="F946" s="33"/>
      <c r="G946" s="30"/>
      <c r="I946" s="32"/>
    </row>
    <row r="947" spans="2:9" x14ac:dyDescent="0.3">
      <c r="B947" s="33"/>
      <c r="D947" s="63"/>
      <c r="E947" s="63"/>
      <c r="F947" s="33"/>
      <c r="G947" s="30"/>
      <c r="I947" s="32"/>
    </row>
    <row r="948" spans="2:9" x14ac:dyDescent="0.3">
      <c r="B948" s="33"/>
      <c r="D948" s="63"/>
      <c r="E948" s="63"/>
      <c r="F948" s="33"/>
      <c r="G948" s="30"/>
      <c r="I948" s="32"/>
    </row>
    <row r="949" spans="2:9" x14ac:dyDescent="0.3">
      <c r="B949" s="33"/>
      <c r="D949" s="63"/>
      <c r="E949" s="63"/>
      <c r="F949" s="33"/>
      <c r="G949" s="30"/>
      <c r="I949" s="32"/>
    </row>
    <row r="950" spans="2:9" x14ac:dyDescent="0.3">
      <c r="B950" s="33"/>
      <c r="D950" s="63"/>
      <c r="E950" s="63"/>
      <c r="F950" s="33"/>
      <c r="G950" s="30"/>
      <c r="I950" s="32"/>
    </row>
    <row r="951" spans="2:9" x14ac:dyDescent="0.3">
      <c r="B951" s="33"/>
      <c r="D951" s="63"/>
      <c r="E951" s="63"/>
      <c r="F951" s="33"/>
      <c r="G951" s="30"/>
      <c r="I951" s="32"/>
    </row>
    <row r="952" spans="2:9" x14ac:dyDescent="0.3">
      <c r="B952" s="33"/>
      <c r="D952" s="63"/>
      <c r="E952" s="63"/>
      <c r="F952" s="33"/>
      <c r="G952" s="30"/>
      <c r="I952" s="32"/>
    </row>
    <row r="953" spans="2:9" x14ac:dyDescent="0.3">
      <c r="B953" s="33"/>
      <c r="D953" s="63"/>
      <c r="E953" s="63"/>
      <c r="F953" s="33"/>
      <c r="G953" s="30"/>
      <c r="I953" s="32"/>
    </row>
    <row r="954" spans="2:9" x14ac:dyDescent="0.3">
      <c r="B954" s="33"/>
      <c r="D954" s="63"/>
      <c r="E954" s="63"/>
      <c r="F954" s="33"/>
      <c r="G954" s="30"/>
      <c r="I954" s="32"/>
    </row>
    <row r="955" spans="2:9" x14ac:dyDescent="0.3">
      <c r="B955" s="33"/>
      <c r="D955" s="63"/>
      <c r="E955" s="63"/>
      <c r="F955" s="33"/>
      <c r="G955" s="30"/>
      <c r="I955" s="32"/>
    </row>
    <row r="956" spans="2:9" x14ac:dyDescent="0.3">
      <c r="B956" s="33"/>
      <c r="D956" s="63"/>
      <c r="E956" s="63"/>
      <c r="F956" s="33"/>
      <c r="G956" s="30"/>
      <c r="I956" s="32"/>
    </row>
    <row r="957" spans="2:9" x14ac:dyDescent="0.3">
      <c r="B957" s="33"/>
      <c r="D957" s="63"/>
      <c r="E957" s="63"/>
      <c r="F957" s="33"/>
      <c r="G957" s="30"/>
      <c r="I957" s="32"/>
    </row>
    <row r="958" spans="2:9" x14ac:dyDescent="0.3">
      <c r="B958" s="33"/>
      <c r="D958" s="63"/>
      <c r="E958" s="63"/>
      <c r="F958" s="33"/>
      <c r="G958" s="30"/>
      <c r="I958" s="32"/>
    </row>
    <row r="959" spans="2:9" x14ac:dyDescent="0.3">
      <c r="B959" s="33"/>
      <c r="D959" s="63"/>
      <c r="E959" s="63"/>
      <c r="F959" s="33"/>
      <c r="G959" s="30"/>
      <c r="I959" s="32"/>
    </row>
    <row r="960" spans="2:9" x14ac:dyDescent="0.3">
      <c r="B960" s="33"/>
      <c r="D960" s="63"/>
      <c r="E960" s="63"/>
      <c r="F960" s="33"/>
      <c r="G960" s="30"/>
      <c r="I960" s="32"/>
    </row>
    <row r="961" spans="2:9" x14ac:dyDescent="0.3">
      <c r="B961" s="33"/>
      <c r="D961" s="63"/>
      <c r="E961" s="63"/>
      <c r="F961" s="33"/>
      <c r="G961" s="30"/>
      <c r="I961" s="32"/>
    </row>
    <row r="962" spans="2:9" x14ac:dyDescent="0.3">
      <c r="B962" s="33"/>
      <c r="D962" s="63"/>
      <c r="E962" s="63"/>
      <c r="F962" s="33"/>
      <c r="G962" s="30"/>
      <c r="I962" s="32"/>
    </row>
    <row r="963" spans="2:9" x14ac:dyDescent="0.3">
      <c r="B963" s="33"/>
      <c r="D963" s="63"/>
      <c r="E963" s="63"/>
      <c r="F963" s="33"/>
      <c r="G963" s="30"/>
      <c r="I963" s="32"/>
    </row>
    <row r="964" spans="2:9" x14ac:dyDescent="0.3">
      <c r="B964" s="33"/>
      <c r="D964" s="63"/>
      <c r="E964" s="63"/>
      <c r="F964" s="33"/>
      <c r="G964" s="30"/>
      <c r="I964" s="32"/>
    </row>
    <row r="965" spans="2:9" x14ac:dyDescent="0.3">
      <c r="B965" s="33"/>
      <c r="D965" s="63"/>
      <c r="E965" s="63"/>
      <c r="F965" s="33"/>
      <c r="G965" s="30"/>
      <c r="I965" s="32"/>
    </row>
    <row r="966" spans="2:9" x14ac:dyDescent="0.3">
      <c r="B966" s="33"/>
      <c r="D966" s="63"/>
      <c r="E966" s="63"/>
      <c r="F966" s="33"/>
      <c r="G966" s="30"/>
      <c r="I966" s="32"/>
    </row>
    <row r="967" spans="2:9" x14ac:dyDescent="0.3">
      <c r="B967" s="33"/>
      <c r="D967" s="63"/>
      <c r="E967" s="63"/>
      <c r="F967" s="33"/>
      <c r="G967" s="30"/>
      <c r="I967" s="32"/>
    </row>
    <row r="968" spans="2:9" x14ac:dyDescent="0.3">
      <c r="B968" s="33"/>
      <c r="D968" s="63"/>
      <c r="E968" s="63"/>
      <c r="F968" s="33"/>
      <c r="G968" s="30"/>
      <c r="I968" s="32"/>
    </row>
    <row r="969" spans="2:9" x14ac:dyDescent="0.3">
      <c r="B969" s="33"/>
      <c r="D969" s="63"/>
      <c r="E969" s="63"/>
      <c r="F969" s="33"/>
      <c r="G969" s="30"/>
      <c r="I969" s="32"/>
    </row>
    <row r="970" spans="2:9" x14ac:dyDescent="0.3">
      <c r="B970" s="33"/>
      <c r="D970" s="63"/>
      <c r="E970" s="63"/>
      <c r="F970" s="33"/>
      <c r="G970" s="30"/>
      <c r="I970" s="32"/>
    </row>
    <row r="971" spans="2:9" x14ac:dyDescent="0.3">
      <c r="B971" s="33"/>
      <c r="D971" s="63"/>
      <c r="E971" s="63"/>
      <c r="F971" s="33"/>
      <c r="G971" s="30"/>
      <c r="I971" s="32"/>
    </row>
    <row r="972" spans="2:9" x14ac:dyDescent="0.3">
      <c r="B972" s="33"/>
      <c r="D972" s="63"/>
      <c r="E972" s="63"/>
      <c r="F972" s="33"/>
      <c r="G972" s="30"/>
      <c r="I972" s="32"/>
    </row>
    <row r="973" spans="2:9" x14ac:dyDescent="0.3">
      <c r="B973" s="33"/>
      <c r="D973" s="63"/>
      <c r="E973" s="63"/>
      <c r="F973" s="33"/>
      <c r="G973" s="30"/>
      <c r="I973" s="32"/>
    </row>
    <row r="974" spans="2:9" x14ac:dyDescent="0.3">
      <c r="B974" s="33"/>
      <c r="D974" s="63"/>
      <c r="E974" s="63"/>
      <c r="F974" s="33"/>
      <c r="G974" s="30"/>
      <c r="I974" s="32"/>
    </row>
    <row r="975" spans="2:9" x14ac:dyDescent="0.3">
      <c r="B975" s="33"/>
      <c r="D975" s="63"/>
      <c r="E975" s="63"/>
      <c r="F975" s="33"/>
      <c r="G975" s="30"/>
      <c r="I975" s="32"/>
    </row>
    <row r="976" spans="2:9" x14ac:dyDescent="0.3">
      <c r="B976" s="33"/>
      <c r="D976" s="63"/>
      <c r="E976" s="63"/>
      <c r="F976" s="33"/>
      <c r="G976" s="30"/>
      <c r="I976" s="32"/>
    </row>
    <row r="977" spans="2:9" x14ac:dyDescent="0.3">
      <c r="B977" s="33"/>
      <c r="D977" s="63"/>
      <c r="E977" s="63"/>
      <c r="F977" s="33"/>
      <c r="G977" s="30"/>
      <c r="I977" s="32"/>
    </row>
    <row r="978" spans="2:9" x14ac:dyDescent="0.3">
      <c r="B978" s="33"/>
      <c r="D978" s="63"/>
      <c r="E978" s="63"/>
      <c r="F978" s="33"/>
      <c r="G978" s="30"/>
      <c r="I978" s="32"/>
    </row>
    <row r="979" spans="2:9" x14ac:dyDescent="0.3">
      <c r="B979" s="33"/>
      <c r="D979" s="63"/>
      <c r="E979" s="63"/>
      <c r="F979" s="33"/>
      <c r="G979" s="30"/>
      <c r="I979" s="32"/>
    </row>
    <row r="980" spans="2:9" x14ac:dyDescent="0.3">
      <c r="B980" s="33"/>
      <c r="D980" s="63"/>
      <c r="E980" s="63"/>
      <c r="F980" s="33"/>
      <c r="G980" s="30"/>
      <c r="I980" s="32"/>
    </row>
    <row r="981" spans="2:9" x14ac:dyDescent="0.3">
      <c r="B981" s="33"/>
      <c r="D981" s="63"/>
      <c r="E981" s="63"/>
      <c r="F981" s="33"/>
      <c r="G981" s="30"/>
      <c r="I981" s="32"/>
    </row>
    <row r="982" spans="2:9" x14ac:dyDescent="0.3">
      <c r="B982" s="33"/>
      <c r="D982" s="63"/>
      <c r="E982" s="63"/>
      <c r="F982" s="33"/>
      <c r="G982" s="30"/>
      <c r="I982" s="32"/>
    </row>
    <row r="983" spans="2:9" x14ac:dyDescent="0.3">
      <c r="B983" s="33"/>
      <c r="D983" s="63"/>
      <c r="E983" s="63"/>
      <c r="F983" s="33"/>
      <c r="G983" s="30"/>
      <c r="I983" s="32"/>
    </row>
    <row r="984" spans="2:9" x14ac:dyDescent="0.3">
      <c r="B984" s="33"/>
      <c r="D984" s="63"/>
      <c r="E984" s="63"/>
      <c r="F984" s="33"/>
      <c r="G984" s="30"/>
      <c r="I984" s="32"/>
    </row>
    <row r="985" spans="2:9" x14ac:dyDescent="0.3">
      <c r="B985" s="33"/>
      <c r="D985" s="63"/>
      <c r="E985" s="63"/>
      <c r="F985" s="33"/>
      <c r="G985" s="30"/>
      <c r="I985" s="32"/>
    </row>
    <row r="986" spans="2:9" x14ac:dyDescent="0.3">
      <c r="B986" s="33"/>
      <c r="D986" s="63"/>
      <c r="E986" s="63"/>
      <c r="F986" s="33"/>
      <c r="G986" s="30"/>
      <c r="I986" s="32"/>
    </row>
    <row r="987" spans="2:9" x14ac:dyDescent="0.3">
      <c r="B987" s="33"/>
      <c r="D987" s="63"/>
      <c r="E987" s="63"/>
      <c r="F987" s="33"/>
      <c r="G987" s="30"/>
      <c r="I987" s="32"/>
    </row>
    <row r="988" spans="2:9" x14ac:dyDescent="0.3">
      <c r="B988" s="33"/>
      <c r="D988" s="63"/>
      <c r="E988" s="63"/>
      <c r="F988" s="33"/>
      <c r="G988" s="30"/>
      <c r="I988" s="32"/>
    </row>
    <row r="989" spans="2:9" x14ac:dyDescent="0.3">
      <c r="B989" s="33"/>
      <c r="D989" s="63"/>
      <c r="E989" s="63"/>
      <c r="F989" s="33"/>
      <c r="G989" s="30"/>
      <c r="I989" s="32"/>
    </row>
    <row r="990" spans="2:9" x14ac:dyDescent="0.3">
      <c r="B990" s="33"/>
      <c r="D990" s="63"/>
      <c r="E990" s="63"/>
      <c r="F990" s="33"/>
      <c r="G990" s="30"/>
      <c r="I990" s="32"/>
    </row>
    <row r="991" spans="2:9" x14ac:dyDescent="0.3">
      <c r="B991" s="33"/>
      <c r="D991" s="63"/>
      <c r="E991" s="63"/>
      <c r="F991" s="33"/>
      <c r="G991" s="30"/>
      <c r="I991" s="32"/>
    </row>
    <row r="992" spans="2:9" x14ac:dyDescent="0.3">
      <c r="B992" s="33"/>
      <c r="D992" s="63"/>
      <c r="E992" s="63"/>
      <c r="F992" s="33"/>
      <c r="G992" s="30"/>
      <c r="I992" s="32"/>
    </row>
    <row r="993" spans="2:9" x14ac:dyDescent="0.3">
      <c r="B993" s="33"/>
      <c r="D993" s="63"/>
      <c r="E993" s="63"/>
      <c r="F993" s="33"/>
      <c r="G993" s="30"/>
      <c r="I993" s="32"/>
    </row>
    <row r="994" spans="2:9" x14ac:dyDescent="0.3">
      <c r="B994" s="33"/>
      <c r="D994" s="63"/>
      <c r="E994" s="63"/>
      <c r="F994" s="33"/>
      <c r="G994" s="30"/>
      <c r="I994" s="32"/>
    </row>
    <row r="995" spans="2:9" x14ac:dyDescent="0.3">
      <c r="B995" s="33"/>
      <c r="D995" s="63"/>
      <c r="E995" s="63"/>
      <c r="F995" s="33"/>
      <c r="G995" s="30"/>
      <c r="I995" s="32"/>
    </row>
    <row r="996" spans="2:9" x14ac:dyDescent="0.3">
      <c r="B996" s="33"/>
      <c r="D996" s="63"/>
      <c r="E996" s="63"/>
      <c r="F996" s="33"/>
      <c r="G996" s="30"/>
      <c r="I996" s="32"/>
    </row>
    <row r="997" spans="2:9" x14ac:dyDescent="0.3">
      <c r="B997" s="33"/>
      <c r="D997" s="63"/>
      <c r="E997" s="63"/>
      <c r="F997" s="33"/>
      <c r="G997" s="30"/>
      <c r="I997" s="32"/>
    </row>
    <row r="998" spans="2:9" x14ac:dyDescent="0.3">
      <c r="B998" s="33"/>
      <c r="D998" s="63"/>
      <c r="E998" s="63"/>
      <c r="F998" s="33"/>
      <c r="G998" s="30"/>
      <c r="I998" s="32"/>
    </row>
    <row r="999" spans="2:9" x14ac:dyDescent="0.3">
      <c r="B999" s="33"/>
      <c r="D999" s="63"/>
      <c r="E999" s="63"/>
      <c r="F999" s="33"/>
      <c r="G999" s="30"/>
      <c r="I999" s="32"/>
    </row>
    <row r="1000" spans="2:9" x14ac:dyDescent="0.3">
      <c r="B1000" s="33"/>
      <c r="D1000" s="63"/>
      <c r="E1000" s="63"/>
      <c r="F1000" s="33"/>
      <c r="G1000" s="30"/>
      <c r="I1000" s="32"/>
    </row>
    <row r="1001" spans="2:9" x14ac:dyDescent="0.3">
      <c r="B1001" s="33"/>
      <c r="D1001" s="63"/>
      <c r="E1001" s="63"/>
      <c r="F1001" s="33"/>
      <c r="G1001" s="30"/>
      <c r="I1001" s="32"/>
    </row>
    <row r="1002" spans="2:9" x14ac:dyDescent="0.3">
      <c r="B1002" s="33"/>
      <c r="D1002" s="63"/>
      <c r="E1002" s="63"/>
      <c r="F1002" s="33"/>
      <c r="G1002" s="30"/>
      <c r="I1002" s="32"/>
    </row>
    <row r="1003" spans="2:9" x14ac:dyDescent="0.3">
      <c r="B1003" s="33"/>
      <c r="D1003" s="63"/>
      <c r="E1003" s="63"/>
      <c r="F1003" s="33"/>
      <c r="G1003" s="30"/>
      <c r="I1003" s="32"/>
    </row>
    <row r="1004" spans="2:9" x14ac:dyDescent="0.3">
      <c r="B1004" s="33"/>
      <c r="D1004" s="63"/>
      <c r="E1004" s="63"/>
      <c r="F1004" s="33"/>
      <c r="G1004" s="30"/>
      <c r="I1004" s="32"/>
    </row>
    <row r="1005" spans="2:9" x14ac:dyDescent="0.3">
      <c r="B1005" s="33"/>
      <c r="D1005" s="63"/>
      <c r="E1005" s="63"/>
      <c r="F1005" s="33"/>
      <c r="G1005" s="30"/>
      <c r="I1005" s="32"/>
    </row>
    <row r="1006" spans="2:9" x14ac:dyDescent="0.3">
      <c r="B1006" s="33"/>
      <c r="D1006" s="63"/>
      <c r="E1006" s="63"/>
      <c r="F1006" s="33"/>
      <c r="G1006" s="30"/>
      <c r="I1006" s="32"/>
    </row>
    <row r="1007" spans="2:9" x14ac:dyDescent="0.3">
      <c r="B1007" s="33"/>
      <c r="D1007" s="63"/>
      <c r="E1007" s="63"/>
      <c r="F1007" s="33"/>
      <c r="G1007" s="30"/>
      <c r="I1007" s="32"/>
    </row>
    <row r="1008" spans="2:9" x14ac:dyDescent="0.3">
      <c r="B1008" s="33"/>
      <c r="D1008" s="63"/>
      <c r="E1008" s="63"/>
      <c r="F1008" s="33"/>
      <c r="G1008" s="30"/>
      <c r="I1008" s="32"/>
    </row>
    <row r="1009" spans="2:9" x14ac:dyDescent="0.3">
      <c r="B1009" s="33"/>
      <c r="D1009" s="63"/>
      <c r="E1009" s="63"/>
      <c r="F1009" s="33"/>
      <c r="G1009" s="30"/>
      <c r="I1009" s="32"/>
    </row>
    <row r="1010" spans="2:9" x14ac:dyDescent="0.3">
      <c r="B1010" s="33"/>
      <c r="D1010" s="63"/>
      <c r="E1010" s="63"/>
      <c r="F1010" s="33"/>
      <c r="G1010" s="30"/>
      <c r="I1010" s="32"/>
    </row>
    <row r="1011" spans="2:9" x14ac:dyDescent="0.3">
      <c r="B1011" s="33"/>
      <c r="D1011" s="63"/>
      <c r="E1011" s="63"/>
      <c r="F1011" s="33"/>
      <c r="G1011" s="30"/>
      <c r="I1011" s="32"/>
    </row>
    <row r="1012" spans="2:9" x14ac:dyDescent="0.3">
      <c r="B1012" s="33"/>
      <c r="D1012" s="63"/>
      <c r="E1012" s="63"/>
      <c r="F1012" s="33"/>
      <c r="G1012" s="30"/>
      <c r="I1012" s="32"/>
    </row>
    <row r="1013" spans="2:9" x14ac:dyDescent="0.3">
      <c r="B1013" s="33"/>
      <c r="D1013" s="63"/>
      <c r="E1013" s="63"/>
      <c r="F1013" s="33"/>
      <c r="G1013" s="30"/>
      <c r="I1013" s="32"/>
    </row>
    <row r="1014" spans="2:9" x14ac:dyDescent="0.3">
      <c r="B1014" s="33"/>
      <c r="D1014" s="63"/>
      <c r="E1014" s="63"/>
      <c r="F1014" s="33"/>
      <c r="G1014" s="30"/>
      <c r="I1014" s="32"/>
    </row>
    <row r="1015" spans="2:9" x14ac:dyDescent="0.3">
      <c r="B1015" s="33"/>
      <c r="D1015" s="63"/>
      <c r="E1015" s="63"/>
      <c r="F1015" s="33"/>
      <c r="G1015" s="30"/>
      <c r="I1015" s="32"/>
    </row>
    <row r="1016" spans="2:9" x14ac:dyDescent="0.3">
      <c r="B1016" s="33"/>
      <c r="D1016" s="63"/>
      <c r="E1016" s="63"/>
      <c r="F1016" s="33"/>
      <c r="G1016" s="30"/>
      <c r="I1016" s="32"/>
    </row>
    <row r="1017" spans="2:9" x14ac:dyDescent="0.3">
      <c r="B1017" s="33"/>
      <c r="D1017" s="63"/>
      <c r="E1017" s="63"/>
      <c r="F1017" s="33"/>
      <c r="G1017" s="30"/>
      <c r="I1017" s="32"/>
    </row>
    <row r="1018" spans="2:9" x14ac:dyDescent="0.3">
      <c r="B1018" s="33"/>
      <c r="D1018" s="63"/>
      <c r="E1018" s="63"/>
      <c r="F1018" s="33"/>
      <c r="G1018" s="30"/>
      <c r="I1018" s="32"/>
    </row>
    <row r="1019" spans="2:9" x14ac:dyDescent="0.3">
      <c r="B1019" s="33"/>
      <c r="D1019" s="63"/>
      <c r="E1019" s="63"/>
      <c r="F1019" s="33"/>
      <c r="G1019" s="30"/>
      <c r="I1019" s="32"/>
    </row>
    <row r="1020" spans="2:9" x14ac:dyDescent="0.3">
      <c r="B1020" s="33"/>
      <c r="D1020" s="63"/>
      <c r="E1020" s="63"/>
      <c r="F1020" s="33"/>
      <c r="G1020" s="30"/>
      <c r="I1020" s="32"/>
    </row>
    <row r="1021" spans="2:9" x14ac:dyDescent="0.3">
      <c r="B1021" s="33"/>
      <c r="D1021" s="63"/>
      <c r="E1021" s="63"/>
      <c r="F1021" s="33"/>
      <c r="G1021" s="30"/>
      <c r="I1021" s="32"/>
    </row>
    <row r="1022" spans="2:9" x14ac:dyDescent="0.3">
      <c r="B1022" s="33"/>
      <c r="D1022" s="63"/>
      <c r="E1022" s="63"/>
      <c r="F1022" s="33"/>
      <c r="G1022" s="30"/>
      <c r="I1022" s="32"/>
    </row>
    <row r="1023" spans="2:9" x14ac:dyDescent="0.3">
      <c r="B1023" s="33"/>
      <c r="D1023" s="63"/>
      <c r="E1023" s="63"/>
      <c r="F1023" s="33"/>
      <c r="G1023" s="30"/>
      <c r="I1023" s="32"/>
    </row>
    <row r="1024" spans="2:9" x14ac:dyDescent="0.3">
      <c r="B1024" s="33"/>
      <c r="D1024" s="63"/>
      <c r="E1024" s="63"/>
      <c r="F1024" s="33"/>
      <c r="G1024" s="30"/>
      <c r="I1024" s="32"/>
    </row>
    <row r="1025" spans="2:9" x14ac:dyDescent="0.3">
      <c r="B1025" s="33"/>
      <c r="D1025" s="63"/>
      <c r="E1025" s="63"/>
      <c r="F1025" s="33"/>
      <c r="G1025" s="30"/>
      <c r="I1025" s="32"/>
    </row>
    <row r="1026" spans="2:9" x14ac:dyDescent="0.3">
      <c r="B1026" s="33"/>
      <c r="D1026" s="63"/>
      <c r="E1026" s="63"/>
      <c r="F1026" s="33"/>
      <c r="G1026" s="30"/>
      <c r="I1026" s="32"/>
    </row>
    <row r="1027" spans="2:9" x14ac:dyDescent="0.3">
      <c r="B1027" s="33"/>
      <c r="D1027" s="63"/>
      <c r="E1027" s="63"/>
      <c r="F1027" s="33"/>
      <c r="G1027" s="30"/>
      <c r="I1027" s="32"/>
    </row>
    <row r="1028" spans="2:9" x14ac:dyDescent="0.3">
      <c r="B1028" s="33"/>
      <c r="D1028" s="63"/>
      <c r="E1028" s="63"/>
      <c r="F1028" s="33"/>
      <c r="G1028" s="30"/>
      <c r="I1028" s="32"/>
    </row>
    <row r="1029" spans="2:9" x14ac:dyDescent="0.3">
      <c r="B1029" s="33"/>
      <c r="D1029" s="63"/>
      <c r="E1029" s="63"/>
      <c r="F1029" s="33"/>
      <c r="G1029" s="30"/>
      <c r="I1029" s="32"/>
    </row>
    <row r="1030" spans="2:9" x14ac:dyDescent="0.3">
      <c r="B1030" s="33"/>
      <c r="D1030" s="63"/>
      <c r="E1030" s="63"/>
      <c r="F1030" s="33"/>
      <c r="G1030" s="30"/>
      <c r="I1030" s="32"/>
    </row>
    <row r="1031" spans="2:9" x14ac:dyDescent="0.3">
      <c r="B1031" s="33"/>
      <c r="D1031" s="63"/>
      <c r="E1031" s="63"/>
      <c r="F1031" s="33"/>
      <c r="G1031" s="30"/>
      <c r="I1031" s="32"/>
    </row>
    <row r="1032" spans="2:9" x14ac:dyDescent="0.3">
      <c r="B1032" s="33"/>
      <c r="D1032" s="63"/>
      <c r="E1032" s="63"/>
      <c r="F1032" s="33"/>
      <c r="G1032" s="30"/>
      <c r="I1032" s="32"/>
    </row>
    <row r="1033" spans="2:9" x14ac:dyDescent="0.3">
      <c r="B1033" s="33"/>
      <c r="D1033" s="63"/>
      <c r="E1033" s="63"/>
      <c r="F1033" s="33"/>
      <c r="G1033" s="30"/>
      <c r="I1033" s="32"/>
    </row>
    <row r="1034" spans="2:9" x14ac:dyDescent="0.3">
      <c r="B1034" s="33"/>
      <c r="D1034" s="63"/>
      <c r="E1034" s="63"/>
      <c r="F1034" s="33"/>
      <c r="G1034" s="30"/>
      <c r="I1034" s="32"/>
    </row>
    <row r="1035" spans="2:9" x14ac:dyDescent="0.3">
      <c r="B1035" s="33"/>
      <c r="D1035" s="63"/>
      <c r="E1035" s="63"/>
      <c r="F1035" s="33"/>
      <c r="G1035" s="30"/>
      <c r="I1035" s="32"/>
    </row>
    <row r="1036" spans="2:9" x14ac:dyDescent="0.3">
      <c r="B1036" s="33"/>
      <c r="D1036" s="63"/>
      <c r="E1036" s="63"/>
      <c r="F1036" s="33"/>
      <c r="G1036" s="30"/>
      <c r="I1036" s="32"/>
    </row>
    <row r="1037" spans="2:9" x14ac:dyDescent="0.3">
      <c r="B1037" s="33"/>
      <c r="D1037" s="63"/>
      <c r="E1037" s="63"/>
      <c r="F1037" s="33"/>
      <c r="G1037" s="30"/>
      <c r="I1037" s="32"/>
    </row>
    <row r="1038" spans="2:9" x14ac:dyDescent="0.3">
      <c r="B1038" s="33"/>
      <c r="D1038" s="63"/>
      <c r="E1038" s="63"/>
      <c r="F1038" s="33"/>
      <c r="G1038" s="30"/>
      <c r="I1038" s="32"/>
    </row>
    <row r="1039" spans="2:9" x14ac:dyDescent="0.3">
      <c r="B1039" s="33"/>
      <c r="D1039" s="63"/>
      <c r="E1039" s="63"/>
      <c r="F1039" s="33"/>
      <c r="G1039" s="30"/>
      <c r="I1039" s="32"/>
    </row>
    <row r="1040" spans="2:9" x14ac:dyDescent="0.3">
      <c r="B1040" s="33"/>
      <c r="D1040" s="63"/>
      <c r="E1040" s="63"/>
      <c r="F1040" s="33"/>
      <c r="G1040" s="30"/>
      <c r="I1040" s="32"/>
    </row>
    <row r="1041" spans="2:9" x14ac:dyDescent="0.3">
      <c r="B1041" s="33"/>
      <c r="D1041" s="63"/>
      <c r="E1041" s="63"/>
      <c r="F1041" s="33"/>
      <c r="G1041" s="30"/>
      <c r="I1041" s="32"/>
    </row>
    <row r="1042" spans="2:9" x14ac:dyDescent="0.3">
      <c r="B1042" s="33"/>
      <c r="D1042" s="63"/>
      <c r="E1042" s="63"/>
      <c r="F1042" s="33"/>
      <c r="G1042" s="30"/>
      <c r="I1042" s="32"/>
    </row>
    <row r="1043" spans="2:9" x14ac:dyDescent="0.3">
      <c r="B1043" s="33"/>
      <c r="D1043" s="63"/>
      <c r="E1043" s="63"/>
      <c r="F1043" s="33"/>
      <c r="G1043" s="30"/>
      <c r="I1043" s="32"/>
    </row>
    <row r="1044" spans="2:9" x14ac:dyDescent="0.3">
      <c r="B1044" s="33"/>
      <c r="D1044" s="63"/>
      <c r="E1044" s="63"/>
      <c r="F1044" s="33"/>
      <c r="G1044" s="30"/>
      <c r="I1044" s="32"/>
    </row>
    <row r="1045" spans="2:9" x14ac:dyDescent="0.3">
      <c r="B1045" s="33"/>
      <c r="D1045" s="63"/>
      <c r="E1045" s="63"/>
      <c r="F1045" s="33"/>
      <c r="G1045" s="30"/>
      <c r="I1045" s="32"/>
    </row>
    <row r="1046" spans="2:9" x14ac:dyDescent="0.3">
      <c r="B1046" s="33"/>
      <c r="D1046" s="63"/>
      <c r="E1046" s="63"/>
      <c r="F1046" s="33"/>
      <c r="G1046" s="30"/>
      <c r="I1046" s="32"/>
    </row>
    <row r="1047" spans="2:9" x14ac:dyDescent="0.3">
      <c r="B1047" s="33"/>
      <c r="D1047" s="63"/>
      <c r="E1047" s="63"/>
      <c r="F1047" s="33"/>
      <c r="G1047" s="30"/>
      <c r="I1047" s="32"/>
    </row>
    <row r="1048" spans="2:9" x14ac:dyDescent="0.3">
      <c r="B1048" s="33"/>
      <c r="D1048" s="63"/>
      <c r="E1048" s="63"/>
      <c r="F1048" s="33"/>
      <c r="G1048" s="30"/>
      <c r="I1048" s="32"/>
    </row>
    <row r="1049" spans="2:9" x14ac:dyDescent="0.3">
      <c r="B1049" s="33"/>
      <c r="D1049" s="63"/>
      <c r="E1049" s="63"/>
      <c r="F1049" s="33"/>
      <c r="G1049" s="30"/>
      <c r="I1049" s="32"/>
    </row>
    <row r="1050" spans="2:9" x14ac:dyDescent="0.3">
      <c r="B1050" s="33"/>
      <c r="D1050" s="63"/>
      <c r="E1050" s="63"/>
      <c r="F1050" s="33"/>
      <c r="G1050" s="30"/>
      <c r="I1050" s="32"/>
    </row>
    <row r="1051" spans="2:9" x14ac:dyDescent="0.3">
      <c r="B1051" s="33"/>
      <c r="D1051" s="63"/>
      <c r="E1051" s="63"/>
      <c r="F1051" s="33"/>
      <c r="G1051" s="30"/>
      <c r="I1051" s="32"/>
    </row>
    <row r="1052" spans="2:9" x14ac:dyDescent="0.3">
      <c r="B1052" s="33"/>
      <c r="D1052" s="63"/>
      <c r="E1052" s="63"/>
      <c r="F1052" s="33"/>
      <c r="G1052" s="30"/>
      <c r="I1052" s="32"/>
    </row>
    <row r="1053" spans="2:9" x14ac:dyDescent="0.3">
      <c r="B1053" s="33"/>
      <c r="D1053" s="63"/>
      <c r="E1053" s="63"/>
      <c r="F1053" s="33"/>
      <c r="G1053" s="30"/>
      <c r="I1053" s="32"/>
    </row>
    <row r="1054" spans="2:9" x14ac:dyDescent="0.3">
      <c r="B1054" s="33"/>
      <c r="D1054" s="63"/>
      <c r="E1054" s="63"/>
      <c r="F1054" s="33"/>
      <c r="G1054" s="30"/>
      <c r="I1054" s="32"/>
    </row>
    <row r="1055" spans="2:9" x14ac:dyDescent="0.3">
      <c r="B1055" s="33"/>
      <c r="D1055" s="63"/>
      <c r="E1055" s="63"/>
      <c r="F1055" s="33"/>
      <c r="G1055" s="30"/>
      <c r="I1055" s="32"/>
    </row>
    <row r="1056" spans="2:9" x14ac:dyDescent="0.3">
      <c r="B1056" s="33"/>
      <c r="D1056" s="63"/>
      <c r="E1056" s="63"/>
      <c r="F1056" s="33"/>
      <c r="G1056" s="30"/>
      <c r="I1056" s="32"/>
    </row>
    <row r="1057" spans="2:9" x14ac:dyDescent="0.3">
      <c r="B1057" s="33"/>
      <c r="D1057" s="63"/>
      <c r="E1057" s="63"/>
      <c r="F1057" s="33"/>
      <c r="G1057" s="30"/>
      <c r="I1057" s="32"/>
    </row>
    <row r="1058" spans="2:9" x14ac:dyDescent="0.3">
      <c r="B1058" s="33"/>
      <c r="D1058" s="63"/>
      <c r="E1058" s="63"/>
      <c r="F1058" s="33"/>
      <c r="G1058" s="30"/>
      <c r="I1058" s="32"/>
    </row>
    <row r="1059" spans="2:9" x14ac:dyDescent="0.3">
      <c r="B1059" s="33"/>
      <c r="D1059" s="63"/>
      <c r="E1059" s="63"/>
      <c r="F1059" s="33"/>
      <c r="G1059" s="30"/>
      <c r="I1059" s="32"/>
    </row>
    <row r="1060" spans="2:9" x14ac:dyDescent="0.3">
      <c r="B1060" s="33"/>
      <c r="D1060" s="63"/>
      <c r="E1060" s="63"/>
      <c r="F1060" s="33"/>
      <c r="G1060" s="30"/>
      <c r="I1060" s="32"/>
    </row>
    <row r="1061" spans="2:9" x14ac:dyDescent="0.3">
      <c r="B1061" s="33"/>
      <c r="D1061" s="63"/>
      <c r="E1061" s="63"/>
      <c r="F1061" s="33"/>
      <c r="G1061" s="30"/>
      <c r="I1061" s="32"/>
    </row>
    <row r="1062" spans="2:9" x14ac:dyDescent="0.3">
      <c r="B1062" s="33"/>
      <c r="D1062" s="63"/>
      <c r="E1062" s="63"/>
      <c r="F1062" s="33"/>
      <c r="G1062" s="30"/>
      <c r="I1062" s="32"/>
    </row>
    <row r="1063" spans="2:9" x14ac:dyDescent="0.3">
      <c r="B1063" s="33"/>
      <c r="D1063" s="63"/>
      <c r="E1063" s="63"/>
      <c r="F1063" s="33"/>
      <c r="G1063" s="30"/>
      <c r="I1063" s="32"/>
    </row>
    <row r="1064" spans="2:9" x14ac:dyDescent="0.3">
      <c r="B1064" s="33"/>
      <c r="D1064" s="63"/>
      <c r="E1064" s="63"/>
      <c r="F1064" s="33"/>
      <c r="G1064" s="30"/>
      <c r="I1064" s="32"/>
    </row>
    <row r="1065" spans="2:9" x14ac:dyDescent="0.3">
      <c r="B1065" s="33"/>
      <c r="D1065" s="63"/>
      <c r="E1065" s="63"/>
      <c r="F1065" s="33"/>
      <c r="G1065" s="30"/>
      <c r="I1065" s="32"/>
    </row>
    <row r="1066" spans="2:9" x14ac:dyDescent="0.3">
      <c r="B1066" s="33"/>
      <c r="D1066" s="63"/>
      <c r="E1066" s="63"/>
      <c r="F1066" s="33"/>
      <c r="G1066" s="30"/>
      <c r="I1066" s="32"/>
    </row>
    <row r="1067" spans="2:9" x14ac:dyDescent="0.3">
      <c r="B1067" s="33"/>
      <c r="D1067" s="63"/>
      <c r="E1067" s="63"/>
      <c r="F1067" s="33"/>
      <c r="G1067" s="30"/>
      <c r="I1067" s="32"/>
    </row>
    <row r="1068" spans="2:9" x14ac:dyDescent="0.3">
      <c r="B1068" s="33"/>
      <c r="D1068" s="63"/>
      <c r="E1068" s="63"/>
      <c r="F1068" s="33"/>
      <c r="G1068" s="30"/>
      <c r="I1068" s="32"/>
    </row>
    <row r="1069" spans="2:9" x14ac:dyDescent="0.3">
      <c r="B1069" s="33"/>
      <c r="D1069" s="63"/>
      <c r="E1069" s="63"/>
      <c r="F1069" s="33"/>
      <c r="G1069" s="30"/>
      <c r="I1069" s="32"/>
    </row>
    <row r="1070" spans="2:9" x14ac:dyDescent="0.3">
      <c r="B1070" s="33"/>
      <c r="D1070" s="63"/>
      <c r="E1070" s="63"/>
      <c r="F1070" s="33"/>
      <c r="G1070" s="30"/>
      <c r="I1070" s="32"/>
    </row>
    <row r="1071" spans="2:9" x14ac:dyDescent="0.3">
      <c r="B1071" s="33"/>
      <c r="D1071" s="63"/>
      <c r="E1071" s="63"/>
      <c r="F1071" s="33"/>
      <c r="G1071" s="30"/>
      <c r="I1071" s="32"/>
    </row>
    <row r="1072" spans="2:9" x14ac:dyDescent="0.3">
      <c r="B1072" s="33"/>
      <c r="D1072" s="63"/>
      <c r="E1072" s="63"/>
      <c r="F1072" s="33"/>
      <c r="G1072" s="30"/>
      <c r="I1072" s="32"/>
    </row>
    <row r="1073" spans="2:9" x14ac:dyDescent="0.3">
      <c r="B1073" s="33"/>
      <c r="D1073" s="63"/>
      <c r="E1073" s="63"/>
      <c r="F1073" s="33"/>
      <c r="G1073" s="30"/>
      <c r="I1073" s="32"/>
    </row>
    <row r="1074" spans="2:9" x14ac:dyDescent="0.3">
      <c r="B1074" s="33"/>
      <c r="D1074" s="63"/>
      <c r="E1074" s="63"/>
      <c r="F1074" s="33"/>
      <c r="G1074" s="30"/>
      <c r="I1074" s="32"/>
    </row>
    <row r="1075" spans="2:9" x14ac:dyDescent="0.3">
      <c r="B1075" s="33"/>
      <c r="D1075" s="63"/>
      <c r="E1075" s="63"/>
      <c r="F1075" s="33"/>
      <c r="G1075" s="30"/>
      <c r="I1075" s="32"/>
    </row>
    <row r="1076" spans="2:9" x14ac:dyDescent="0.3">
      <c r="B1076" s="33"/>
      <c r="D1076" s="63"/>
      <c r="E1076" s="63"/>
      <c r="F1076" s="33"/>
      <c r="G1076" s="30"/>
      <c r="I1076" s="32"/>
    </row>
    <row r="1077" spans="2:9" x14ac:dyDescent="0.3">
      <c r="B1077" s="33"/>
      <c r="D1077" s="63"/>
      <c r="E1077" s="63"/>
      <c r="F1077" s="33"/>
      <c r="G1077" s="30"/>
      <c r="I1077" s="32"/>
    </row>
    <row r="1078" spans="2:9" x14ac:dyDescent="0.3">
      <c r="B1078" s="33"/>
      <c r="D1078" s="63"/>
      <c r="E1078" s="63"/>
      <c r="F1078" s="33"/>
      <c r="G1078" s="30"/>
      <c r="I1078" s="32"/>
    </row>
    <row r="1079" spans="2:9" x14ac:dyDescent="0.3">
      <c r="B1079" s="33"/>
      <c r="D1079" s="63"/>
      <c r="E1079" s="63"/>
      <c r="F1079" s="33"/>
      <c r="G1079" s="30"/>
      <c r="I1079" s="32"/>
    </row>
    <row r="1080" spans="2:9" x14ac:dyDescent="0.3">
      <c r="B1080" s="33"/>
      <c r="D1080" s="63"/>
      <c r="E1080" s="63"/>
      <c r="F1080" s="33"/>
      <c r="G1080" s="30"/>
      <c r="I1080" s="32"/>
    </row>
    <row r="1081" spans="2:9" x14ac:dyDescent="0.3">
      <c r="B1081" s="33"/>
      <c r="D1081" s="63"/>
      <c r="E1081" s="63"/>
      <c r="F1081" s="33"/>
      <c r="G1081" s="30"/>
      <c r="I1081" s="32"/>
    </row>
    <row r="1082" spans="2:9" x14ac:dyDescent="0.3">
      <c r="B1082" s="33"/>
      <c r="D1082" s="63"/>
      <c r="E1082" s="63"/>
      <c r="F1082" s="33"/>
      <c r="G1082" s="30"/>
      <c r="I1082" s="32"/>
    </row>
    <row r="1083" spans="2:9" x14ac:dyDescent="0.3">
      <c r="B1083" s="33"/>
      <c r="D1083" s="63"/>
      <c r="E1083" s="63"/>
      <c r="F1083" s="33"/>
      <c r="G1083" s="30"/>
      <c r="I1083" s="32"/>
    </row>
    <row r="1084" spans="2:9" x14ac:dyDescent="0.3">
      <c r="B1084" s="33"/>
      <c r="D1084" s="63"/>
      <c r="E1084" s="63"/>
      <c r="F1084" s="33"/>
      <c r="G1084" s="30"/>
      <c r="I1084" s="32"/>
    </row>
    <row r="1085" spans="2:9" x14ac:dyDescent="0.3">
      <c r="B1085" s="33"/>
      <c r="D1085" s="63"/>
      <c r="E1085" s="63"/>
      <c r="F1085" s="33"/>
      <c r="G1085" s="30"/>
      <c r="I1085" s="32"/>
    </row>
    <row r="1086" spans="2:9" x14ac:dyDescent="0.3">
      <c r="B1086" s="33"/>
      <c r="D1086" s="63"/>
      <c r="E1086" s="63"/>
      <c r="F1086" s="33"/>
      <c r="G1086" s="30"/>
      <c r="I1086" s="32"/>
    </row>
    <row r="1087" spans="2:9" x14ac:dyDescent="0.3">
      <c r="B1087" s="33"/>
      <c r="D1087" s="63"/>
      <c r="E1087" s="63"/>
      <c r="F1087" s="33"/>
      <c r="G1087" s="30"/>
      <c r="I1087" s="32"/>
    </row>
    <row r="1088" spans="2:9" x14ac:dyDescent="0.3">
      <c r="B1088" s="33"/>
      <c r="D1088" s="63"/>
      <c r="E1088" s="63"/>
      <c r="F1088" s="33"/>
      <c r="G1088" s="30"/>
      <c r="I1088" s="32"/>
    </row>
    <row r="1089" spans="2:9" x14ac:dyDescent="0.3">
      <c r="B1089" s="33"/>
      <c r="D1089" s="63"/>
      <c r="E1089" s="63"/>
      <c r="F1089" s="33"/>
      <c r="G1089" s="30"/>
      <c r="I1089" s="32"/>
    </row>
    <row r="1090" spans="2:9" x14ac:dyDescent="0.3">
      <c r="B1090" s="33"/>
      <c r="D1090" s="63"/>
      <c r="E1090" s="63"/>
      <c r="F1090" s="33"/>
      <c r="G1090" s="30"/>
      <c r="I1090" s="32"/>
    </row>
    <row r="1091" spans="2:9" x14ac:dyDescent="0.3">
      <c r="B1091" s="33"/>
      <c r="D1091" s="63"/>
      <c r="E1091" s="63"/>
      <c r="F1091" s="33"/>
      <c r="G1091" s="30"/>
      <c r="I1091" s="32"/>
    </row>
    <row r="1092" spans="2:9" x14ac:dyDescent="0.3">
      <c r="B1092" s="33"/>
      <c r="D1092" s="63"/>
      <c r="E1092" s="63"/>
      <c r="F1092" s="33"/>
      <c r="G1092" s="30"/>
      <c r="I1092" s="32"/>
    </row>
    <row r="1093" spans="2:9" x14ac:dyDescent="0.3">
      <c r="B1093" s="33"/>
      <c r="D1093" s="63"/>
      <c r="E1093" s="63"/>
      <c r="F1093" s="33"/>
      <c r="G1093" s="30"/>
      <c r="I1093" s="32"/>
    </row>
    <row r="1094" spans="2:9" x14ac:dyDescent="0.3">
      <c r="B1094" s="33"/>
      <c r="D1094" s="63"/>
      <c r="E1094" s="63"/>
      <c r="F1094" s="33"/>
      <c r="G1094" s="30"/>
      <c r="I1094" s="32"/>
    </row>
    <row r="1095" spans="2:9" x14ac:dyDescent="0.3">
      <c r="B1095" s="33"/>
      <c r="D1095" s="63"/>
      <c r="E1095" s="63"/>
      <c r="F1095" s="33"/>
      <c r="G1095" s="30"/>
      <c r="I1095" s="32"/>
    </row>
    <row r="1096" spans="2:9" x14ac:dyDescent="0.3">
      <c r="B1096" s="33"/>
      <c r="D1096" s="63"/>
      <c r="E1096" s="63"/>
      <c r="F1096" s="33"/>
      <c r="G1096" s="30"/>
      <c r="I1096" s="32"/>
    </row>
    <row r="1097" spans="2:9" x14ac:dyDescent="0.3">
      <c r="B1097" s="33"/>
      <c r="D1097" s="63"/>
      <c r="E1097" s="63"/>
      <c r="F1097" s="33"/>
      <c r="G1097" s="30"/>
      <c r="I1097" s="32"/>
    </row>
    <row r="1098" spans="2:9" x14ac:dyDescent="0.3">
      <c r="B1098" s="33"/>
      <c r="D1098" s="63"/>
      <c r="E1098" s="63"/>
      <c r="F1098" s="33"/>
      <c r="G1098" s="30"/>
      <c r="I1098" s="32"/>
    </row>
    <row r="1099" spans="2:9" x14ac:dyDescent="0.3">
      <c r="B1099" s="33"/>
      <c r="D1099" s="63"/>
      <c r="E1099" s="63"/>
      <c r="F1099" s="33"/>
      <c r="G1099" s="30"/>
      <c r="I1099" s="32"/>
    </row>
    <row r="1100" spans="2:9" x14ac:dyDescent="0.3">
      <c r="B1100" s="33"/>
      <c r="D1100" s="63"/>
      <c r="E1100" s="63"/>
      <c r="F1100" s="33"/>
      <c r="G1100" s="30"/>
      <c r="I1100" s="32"/>
    </row>
    <row r="1101" spans="2:9" x14ac:dyDescent="0.3">
      <c r="B1101" s="33"/>
      <c r="D1101" s="63"/>
      <c r="E1101" s="63"/>
      <c r="F1101" s="33"/>
      <c r="G1101" s="30"/>
      <c r="I1101" s="32"/>
    </row>
    <row r="1102" spans="2:9" x14ac:dyDescent="0.3">
      <c r="B1102" s="33"/>
      <c r="D1102" s="63"/>
      <c r="E1102" s="63"/>
      <c r="F1102" s="33"/>
      <c r="G1102" s="30"/>
      <c r="I1102" s="32"/>
    </row>
    <row r="1103" spans="2:9" x14ac:dyDescent="0.3">
      <c r="B1103" s="33"/>
      <c r="D1103" s="63"/>
      <c r="E1103" s="63"/>
      <c r="F1103" s="33"/>
      <c r="G1103" s="30"/>
      <c r="I1103" s="32"/>
    </row>
    <row r="1104" spans="2:9" x14ac:dyDescent="0.3">
      <c r="B1104" s="33"/>
      <c r="D1104" s="63"/>
      <c r="E1104" s="63"/>
      <c r="F1104" s="33"/>
      <c r="G1104" s="30"/>
      <c r="I1104" s="32"/>
    </row>
    <row r="1105" spans="2:9" x14ac:dyDescent="0.3">
      <c r="B1105" s="33"/>
      <c r="D1105" s="63"/>
      <c r="E1105" s="63"/>
      <c r="F1105" s="33"/>
      <c r="G1105" s="30"/>
      <c r="I1105" s="32"/>
    </row>
    <row r="1106" spans="2:9" x14ac:dyDescent="0.3">
      <c r="B1106" s="33"/>
      <c r="D1106" s="63"/>
      <c r="E1106" s="63"/>
      <c r="F1106" s="33"/>
      <c r="G1106" s="30"/>
      <c r="I1106" s="32"/>
    </row>
    <row r="1107" spans="2:9" x14ac:dyDescent="0.3">
      <c r="B1107" s="33"/>
      <c r="D1107" s="63"/>
      <c r="E1107" s="63"/>
      <c r="F1107" s="33"/>
      <c r="G1107" s="30"/>
      <c r="I1107" s="32"/>
    </row>
    <row r="1108" spans="2:9" x14ac:dyDescent="0.3">
      <c r="B1108" s="33"/>
      <c r="D1108" s="63"/>
      <c r="E1108" s="63"/>
      <c r="F1108" s="33"/>
      <c r="G1108" s="30"/>
      <c r="I1108" s="32"/>
    </row>
    <row r="1109" spans="2:9" x14ac:dyDescent="0.3">
      <c r="B1109" s="33"/>
      <c r="D1109" s="63"/>
      <c r="E1109" s="63"/>
      <c r="F1109" s="33"/>
      <c r="G1109" s="30"/>
      <c r="I1109" s="32"/>
    </row>
    <row r="1110" spans="2:9" x14ac:dyDescent="0.3">
      <c r="B1110" s="33"/>
      <c r="D1110" s="63"/>
      <c r="E1110" s="63"/>
      <c r="F1110" s="33"/>
      <c r="G1110" s="30"/>
      <c r="I1110" s="32"/>
    </row>
    <row r="1111" spans="2:9" x14ac:dyDescent="0.3">
      <c r="B1111" s="33"/>
      <c r="D1111" s="63"/>
      <c r="E1111" s="63"/>
      <c r="F1111" s="33"/>
      <c r="G1111" s="30"/>
      <c r="I1111" s="32"/>
    </row>
    <row r="1112" spans="2:9" x14ac:dyDescent="0.3">
      <c r="B1112" s="33"/>
      <c r="D1112" s="63"/>
      <c r="E1112" s="63"/>
      <c r="F1112" s="33"/>
      <c r="G1112" s="30"/>
      <c r="I1112" s="32"/>
    </row>
    <row r="1113" spans="2:9" x14ac:dyDescent="0.3">
      <c r="B1113" s="33"/>
      <c r="D1113" s="63"/>
      <c r="E1113" s="63"/>
      <c r="F1113" s="33"/>
      <c r="G1113" s="30"/>
      <c r="I1113" s="32"/>
    </row>
    <row r="1114" spans="2:9" x14ac:dyDescent="0.3">
      <c r="B1114" s="33"/>
      <c r="D1114" s="63"/>
      <c r="E1114" s="63"/>
      <c r="F1114" s="33"/>
      <c r="G1114" s="30"/>
      <c r="I1114" s="32"/>
    </row>
    <row r="1115" spans="2:9" x14ac:dyDescent="0.3">
      <c r="B1115" s="33"/>
      <c r="D1115" s="63"/>
      <c r="E1115" s="63"/>
      <c r="F1115" s="33"/>
      <c r="G1115" s="30"/>
      <c r="I1115" s="32"/>
    </row>
    <row r="1116" spans="2:9" x14ac:dyDescent="0.3">
      <c r="B1116" s="33"/>
      <c r="D1116" s="63"/>
      <c r="E1116" s="63"/>
      <c r="F1116" s="33"/>
      <c r="G1116" s="30"/>
      <c r="I1116" s="32"/>
    </row>
    <row r="1117" spans="2:9" x14ac:dyDescent="0.3">
      <c r="B1117" s="33"/>
      <c r="D1117" s="63"/>
      <c r="E1117" s="63"/>
      <c r="F1117" s="33"/>
      <c r="G1117" s="30"/>
      <c r="I1117" s="32"/>
    </row>
    <row r="1118" spans="2:9" x14ac:dyDescent="0.3">
      <c r="B1118" s="33"/>
      <c r="D1118" s="63"/>
      <c r="E1118" s="63"/>
      <c r="F1118" s="33"/>
      <c r="G1118" s="30"/>
      <c r="I1118" s="32"/>
    </row>
    <row r="1119" spans="2:9" x14ac:dyDescent="0.3">
      <c r="B1119" s="33"/>
      <c r="D1119" s="63"/>
      <c r="E1119" s="63"/>
      <c r="F1119" s="33"/>
      <c r="G1119" s="30"/>
      <c r="I1119" s="32"/>
    </row>
    <row r="1120" spans="2:9" x14ac:dyDescent="0.3">
      <c r="B1120" s="33"/>
      <c r="D1120" s="63"/>
      <c r="E1120" s="63"/>
      <c r="F1120" s="33"/>
      <c r="G1120" s="30"/>
      <c r="I1120" s="32"/>
    </row>
    <row r="1121" spans="2:9" x14ac:dyDescent="0.3">
      <c r="B1121" s="33"/>
      <c r="D1121" s="63"/>
      <c r="E1121" s="63"/>
      <c r="F1121" s="33"/>
      <c r="G1121" s="30"/>
      <c r="I1121" s="32"/>
    </row>
    <row r="1122" spans="2:9" x14ac:dyDescent="0.3">
      <c r="B1122" s="33"/>
      <c r="D1122" s="63"/>
      <c r="E1122" s="63"/>
      <c r="F1122" s="33"/>
      <c r="G1122" s="30"/>
      <c r="I1122" s="32"/>
    </row>
    <row r="1123" spans="2:9" x14ac:dyDescent="0.3">
      <c r="B1123" s="33"/>
      <c r="D1123" s="63"/>
      <c r="E1123" s="63"/>
      <c r="F1123" s="33"/>
      <c r="G1123" s="30"/>
      <c r="I1123" s="32"/>
    </row>
    <row r="1124" spans="2:9" x14ac:dyDescent="0.3">
      <c r="B1124" s="33"/>
      <c r="D1124" s="63"/>
      <c r="E1124" s="63"/>
      <c r="F1124" s="33"/>
      <c r="G1124" s="30"/>
      <c r="I1124" s="32"/>
    </row>
    <row r="1125" spans="2:9" x14ac:dyDescent="0.3">
      <c r="B1125" s="33"/>
      <c r="D1125" s="63"/>
      <c r="E1125" s="63"/>
      <c r="F1125" s="33"/>
      <c r="G1125" s="30"/>
      <c r="I1125" s="32"/>
    </row>
    <row r="1126" spans="2:9" x14ac:dyDescent="0.3">
      <c r="B1126" s="33"/>
      <c r="D1126" s="63"/>
      <c r="E1126" s="63"/>
      <c r="F1126" s="33"/>
      <c r="G1126" s="30"/>
      <c r="I1126" s="32"/>
    </row>
    <row r="1127" spans="2:9" x14ac:dyDescent="0.3">
      <c r="B1127" s="33"/>
      <c r="D1127" s="63"/>
      <c r="E1127" s="63"/>
      <c r="F1127" s="33"/>
      <c r="G1127" s="30"/>
      <c r="I1127" s="32"/>
    </row>
    <row r="1128" spans="2:9" x14ac:dyDescent="0.3">
      <c r="B1128" s="33"/>
      <c r="D1128" s="63"/>
      <c r="E1128" s="63"/>
      <c r="F1128" s="33"/>
      <c r="G1128" s="30"/>
      <c r="I1128" s="32"/>
    </row>
    <row r="1129" spans="2:9" x14ac:dyDescent="0.3">
      <c r="B1129" s="33"/>
      <c r="D1129" s="63"/>
      <c r="E1129" s="63"/>
      <c r="F1129" s="33"/>
      <c r="G1129" s="30"/>
      <c r="I1129" s="32"/>
    </row>
    <row r="1130" spans="2:9" x14ac:dyDescent="0.3">
      <c r="B1130" s="33"/>
      <c r="D1130" s="63"/>
      <c r="E1130" s="63"/>
      <c r="F1130" s="33"/>
      <c r="G1130" s="30"/>
      <c r="I1130" s="32"/>
    </row>
    <row r="1131" spans="2:9" x14ac:dyDescent="0.3">
      <c r="B1131" s="33"/>
      <c r="D1131" s="63"/>
      <c r="E1131" s="63"/>
      <c r="F1131" s="33"/>
      <c r="G1131" s="30"/>
      <c r="I1131" s="32"/>
    </row>
    <row r="1132" spans="2:9" x14ac:dyDescent="0.3">
      <c r="B1132" s="33"/>
      <c r="D1132" s="63"/>
      <c r="E1132" s="63"/>
      <c r="F1132" s="33"/>
      <c r="G1132" s="30"/>
      <c r="I1132" s="32"/>
    </row>
    <row r="1133" spans="2:9" x14ac:dyDescent="0.3">
      <c r="B1133" s="33"/>
      <c r="D1133" s="63"/>
      <c r="E1133" s="63"/>
      <c r="F1133" s="33"/>
      <c r="G1133" s="30"/>
      <c r="I1133" s="32"/>
    </row>
    <row r="1134" spans="2:9" x14ac:dyDescent="0.3">
      <c r="B1134" s="33"/>
      <c r="D1134" s="63"/>
      <c r="E1134" s="63"/>
      <c r="F1134" s="33"/>
      <c r="G1134" s="30"/>
      <c r="I1134" s="32"/>
    </row>
    <row r="1135" spans="2:9" x14ac:dyDescent="0.3">
      <c r="B1135" s="33"/>
      <c r="D1135" s="63"/>
      <c r="E1135" s="63"/>
      <c r="F1135" s="33"/>
      <c r="G1135" s="30"/>
      <c r="I1135" s="32"/>
    </row>
    <row r="1136" spans="2:9" x14ac:dyDescent="0.3">
      <c r="B1136" s="33"/>
      <c r="D1136" s="63"/>
      <c r="E1136" s="63"/>
      <c r="F1136" s="33"/>
      <c r="G1136" s="30"/>
      <c r="I1136" s="32"/>
    </row>
    <row r="1137" spans="2:9" x14ac:dyDescent="0.3">
      <c r="B1137" s="33"/>
      <c r="D1137" s="63"/>
      <c r="E1137" s="63"/>
      <c r="F1137" s="33"/>
      <c r="G1137" s="30"/>
      <c r="I1137" s="32"/>
    </row>
    <row r="1138" spans="2:9" x14ac:dyDescent="0.3">
      <c r="B1138" s="33"/>
      <c r="D1138" s="63"/>
      <c r="E1138" s="63"/>
      <c r="F1138" s="33"/>
      <c r="G1138" s="30"/>
      <c r="I1138" s="32"/>
    </row>
    <row r="1139" spans="2:9" x14ac:dyDescent="0.3">
      <c r="B1139" s="33"/>
      <c r="D1139" s="63"/>
      <c r="E1139" s="63"/>
      <c r="F1139" s="33"/>
      <c r="G1139" s="30"/>
      <c r="I1139" s="32"/>
    </row>
    <row r="1140" spans="2:9" x14ac:dyDescent="0.3">
      <c r="B1140" s="33"/>
      <c r="D1140" s="63"/>
      <c r="E1140" s="63"/>
      <c r="F1140" s="33"/>
      <c r="G1140" s="30"/>
      <c r="I1140" s="32"/>
    </row>
    <row r="1141" spans="2:9" x14ac:dyDescent="0.3">
      <c r="B1141" s="33"/>
      <c r="D1141" s="63"/>
      <c r="E1141" s="63"/>
      <c r="F1141" s="33"/>
      <c r="G1141" s="30"/>
      <c r="I1141" s="32"/>
    </row>
    <row r="1142" spans="2:9" x14ac:dyDescent="0.3">
      <c r="B1142" s="33"/>
      <c r="D1142" s="63"/>
      <c r="E1142" s="63"/>
      <c r="F1142" s="33"/>
      <c r="G1142" s="30"/>
      <c r="I1142" s="32"/>
    </row>
    <row r="1143" spans="2:9" x14ac:dyDescent="0.3">
      <c r="B1143" s="33"/>
      <c r="D1143" s="63"/>
      <c r="E1143" s="63"/>
      <c r="F1143" s="33"/>
      <c r="G1143" s="30"/>
      <c r="I1143" s="32"/>
    </row>
    <row r="1144" spans="2:9" x14ac:dyDescent="0.3">
      <c r="B1144" s="33"/>
      <c r="D1144" s="63"/>
      <c r="E1144" s="63"/>
      <c r="F1144" s="33"/>
      <c r="G1144" s="30"/>
      <c r="I1144" s="32"/>
    </row>
    <row r="1145" spans="2:9" x14ac:dyDescent="0.3">
      <c r="B1145" s="33"/>
      <c r="D1145" s="63"/>
      <c r="E1145" s="63"/>
      <c r="F1145" s="33"/>
      <c r="G1145" s="30"/>
      <c r="I1145" s="32"/>
    </row>
    <row r="1146" spans="2:9" x14ac:dyDescent="0.3">
      <c r="B1146" s="33"/>
      <c r="D1146" s="63"/>
      <c r="E1146" s="63"/>
      <c r="F1146" s="33"/>
      <c r="G1146" s="30"/>
      <c r="I1146" s="32"/>
    </row>
    <row r="1147" spans="2:9" x14ac:dyDescent="0.3">
      <c r="B1147" s="33"/>
      <c r="D1147" s="63"/>
      <c r="E1147" s="63"/>
      <c r="F1147" s="33"/>
      <c r="G1147" s="30"/>
      <c r="I1147" s="32"/>
    </row>
    <row r="1148" spans="2:9" x14ac:dyDescent="0.3">
      <c r="B1148" s="33"/>
      <c r="D1148" s="63"/>
      <c r="E1148" s="63"/>
      <c r="F1148" s="33"/>
      <c r="G1148" s="30"/>
      <c r="I1148" s="32"/>
    </row>
    <row r="1149" spans="2:9" x14ac:dyDescent="0.3">
      <c r="B1149" s="33"/>
      <c r="D1149" s="63"/>
      <c r="E1149" s="63"/>
      <c r="F1149" s="33"/>
      <c r="G1149" s="30"/>
      <c r="I1149" s="32"/>
    </row>
    <row r="1150" spans="2:9" x14ac:dyDescent="0.3">
      <c r="B1150" s="33"/>
      <c r="D1150" s="63"/>
      <c r="E1150" s="63"/>
      <c r="F1150" s="33"/>
      <c r="G1150" s="30"/>
      <c r="I1150" s="32"/>
    </row>
    <row r="1151" spans="2:9" x14ac:dyDescent="0.3">
      <c r="B1151" s="33"/>
      <c r="D1151" s="63"/>
      <c r="E1151" s="63"/>
      <c r="F1151" s="33"/>
      <c r="G1151" s="30"/>
      <c r="I1151" s="32"/>
    </row>
    <row r="1152" spans="2:9" x14ac:dyDescent="0.3">
      <c r="B1152" s="33"/>
      <c r="D1152" s="63"/>
      <c r="E1152" s="63"/>
      <c r="F1152" s="33"/>
      <c r="G1152" s="30"/>
      <c r="I1152" s="32"/>
    </row>
    <row r="1153" spans="2:9" x14ac:dyDescent="0.3">
      <c r="B1153" s="33"/>
      <c r="D1153" s="63"/>
      <c r="E1153" s="63"/>
      <c r="F1153" s="33"/>
      <c r="G1153" s="30"/>
      <c r="I1153" s="32"/>
    </row>
    <row r="1154" spans="2:9" x14ac:dyDescent="0.3">
      <c r="B1154" s="33"/>
      <c r="D1154" s="63"/>
      <c r="E1154" s="63"/>
      <c r="F1154" s="33"/>
      <c r="G1154" s="30"/>
      <c r="I1154" s="32"/>
    </row>
    <row r="1155" spans="2:9" x14ac:dyDescent="0.3">
      <c r="B1155" s="33"/>
      <c r="D1155" s="63"/>
      <c r="E1155" s="63"/>
      <c r="F1155" s="33"/>
      <c r="G1155" s="30"/>
      <c r="I1155" s="32"/>
    </row>
    <row r="1156" spans="2:9" x14ac:dyDescent="0.3">
      <c r="B1156" s="33"/>
      <c r="D1156" s="63"/>
      <c r="E1156" s="63"/>
      <c r="F1156" s="33"/>
      <c r="G1156" s="30"/>
      <c r="I1156" s="32"/>
    </row>
    <row r="1157" spans="2:9" x14ac:dyDescent="0.3">
      <c r="B1157" s="33"/>
      <c r="D1157" s="63"/>
      <c r="E1157" s="63"/>
      <c r="F1157" s="33"/>
      <c r="G1157" s="30"/>
      <c r="I1157" s="32"/>
    </row>
    <row r="1158" spans="2:9" x14ac:dyDescent="0.3">
      <c r="B1158" s="33"/>
      <c r="D1158" s="63"/>
      <c r="E1158" s="63"/>
      <c r="F1158" s="33"/>
      <c r="G1158" s="30"/>
      <c r="I1158" s="32"/>
    </row>
    <row r="1159" spans="2:9" x14ac:dyDescent="0.3">
      <c r="B1159" s="33"/>
      <c r="D1159" s="63"/>
      <c r="E1159" s="63"/>
      <c r="F1159" s="33"/>
      <c r="G1159" s="30"/>
      <c r="I1159" s="32"/>
    </row>
    <row r="1160" spans="2:9" x14ac:dyDescent="0.3">
      <c r="B1160" s="33"/>
      <c r="D1160" s="63"/>
      <c r="E1160" s="63"/>
      <c r="F1160" s="33"/>
      <c r="G1160" s="30"/>
      <c r="I1160" s="32"/>
    </row>
    <row r="1161" spans="2:9" x14ac:dyDescent="0.3">
      <c r="B1161" s="33"/>
      <c r="D1161" s="63"/>
      <c r="E1161" s="63"/>
      <c r="F1161" s="33"/>
      <c r="G1161" s="30"/>
      <c r="I1161" s="32"/>
    </row>
    <row r="1162" spans="2:9" x14ac:dyDescent="0.3">
      <c r="B1162" s="33"/>
      <c r="D1162" s="63"/>
      <c r="E1162" s="63"/>
      <c r="F1162" s="33"/>
      <c r="G1162" s="30"/>
      <c r="I1162" s="32"/>
    </row>
    <row r="1163" spans="2:9" x14ac:dyDescent="0.3">
      <c r="B1163" s="33"/>
      <c r="D1163" s="63"/>
      <c r="E1163" s="63"/>
      <c r="F1163" s="33"/>
      <c r="G1163" s="30"/>
      <c r="I1163" s="32"/>
    </row>
    <row r="1164" spans="2:9" x14ac:dyDescent="0.3">
      <c r="B1164" s="33"/>
      <c r="D1164" s="63"/>
      <c r="E1164" s="63"/>
      <c r="F1164" s="33"/>
      <c r="G1164" s="30"/>
      <c r="I1164" s="32"/>
    </row>
    <row r="1165" spans="2:9" x14ac:dyDescent="0.3">
      <c r="B1165" s="33"/>
      <c r="D1165" s="63"/>
      <c r="E1165" s="63"/>
      <c r="F1165" s="33"/>
      <c r="G1165" s="30"/>
      <c r="I1165" s="32"/>
    </row>
    <row r="1166" spans="2:9" x14ac:dyDescent="0.3">
      <c r="B1166" s="33"/>
      <c r="D1166" s="63"/>
      <c r="E1166" s="63"/>
      <c r="F1166" s="33"/>
      <c r="G1166" s="30"/>
      <c r="I1166" s="32"/>
    </row>
    <row r="1167" spans="2:9" x14ac:dyDescent="0.3">
      <c r="B1167" s="33"/>
      <c r="D1167" s="63"/>
      <c r="E1167" s="63"/>
      <c r="F1167" s="33"/>
      <c r="G1167" s="30"/>
      <c r="I1167" s="32"/>
    </row>
    <row r="1168" spans="2:9" x14ac:dyDescent="0.3">
      <c r="B1168" s="33"/>
      <c r="D1168" s="63"/>
      <c r="E1168" s="63"/>
      <c r="F1168" s="33"/>
      <c r="G1168" s="30"/>
      <c r="I1168" s="32"/>
    </row>
    <row r="1169" spans="2:9" x14ac:dyDescent="0.3">
      <c r="B1169" s="33"/>
      <c r="D1169" s="63"/>
      <c r="E1169" s="63"/>
      <c r="F1169" s="33"/>
      <c r="G1169" s="30"/>
      <c r="I1169" s="32"/>
    </row>
    <row r="1170" spans="2:9" x14ac:dyDescent="0.3">
      <c r="B1170" s="33"/>
      <c r="D1170" s="63"/>
      <c r="E1170" s="63"/>
      <c r="F1170" s="33"/>
      <c r="G1170" s="30"/>
      <c r="I1170" s="32"/>
    </row>
    <row r="1171" spans="2:9" x14ac:dyDescent="0.3">
      <c r="B1171" s="33"/>
      <c r="D1171" s="63"/>
      <c r="E1171" s="63"/>
      <c r="F1171" s="33"/>
      <c r="G1171" s="30"/>
      <c r="I1171" s="32"/>
    </row>
    <row r="1172" spans="2:9" x14ac:dyDescent="0.3">
      <c r="B1172" s="33"/>
      <c r="D1172" s="63"/>
      <c r="E1172" s="63"/>
      <c r="F1172" s="33"/>
      <c r="G1172" s="30"/>
      <c r="I1172" s="32"/>
    </row>
    <row r="1173" spans="2:9" x14ac:dyDescent="0.3">
      <c r="B1173" s="33"/>
      <c r="D1173" s="63"/>
      <c r="E1173" s="63"/>
      <c r="F1173" s="33"/>
      <c r="G1173" s="30"/>
      <c r="I1173" s="32"/>
    </row>
    <row r="1174" spans="2:9" x14ac:dyDescent="0.3">
      <c r="B1174" s="33"/>
      <c r="D1174" s="63"/>
      <c r="E1174" s="63"/>
      <c r="F1174" s="33"/>
      <c r="G1174" s="30"/>
      <c r="I1174" s="32"/>
    </row>
    <row r="1175" spans="2:9" x14ac:dyDescent="0.3">
      <c r="B1175" s="33"/>
      <c r="D1175" s="63"/>
      <c r="E1175" s="63"/>
      <c r="F1175" s="33"/>
      <c r="G1175" s="30"/>
      <c r="I1175" s="32"/>
    </row>
    <row r="1176" spans="2:9" x14ac:dyDescent="0.3">
      <c r="B1176" s="33"/>
      <c r="D1176" s="63"/>
      <c r="E1176" s="63"/>
      <c r="F1176" s="33"/>
      <c r="G1176" s="30"/>
      <c r="I1176" s="32"/>
    </row>
    <row r="1177" spans="2:9" x14ac:dyDescent="0.3">
      <c r="B1177" s="33"/>
      <c r="D1177" s="63"/>
      <c r="E1177" s="63"/>
      <c r="F1177" s="33"/>
      <c r="G1177" s="30"/>
      <c r="I1177" s="32"/>
    </row>
    <row r="1178" spans="2:9" x14ac:dyDescent="0.3">
      <c r="B1178" s="33"/>
      <c r="D1178" s="63"/>
      <c r="E1178" s="63"/>
      <c r="F1178" s="33"/>
      <c r="G1178" s="30"/>
      <c r="I1178" s="32"/>
    </row>
    <row r="1179" spans="2:9" x14ac:dyDescent="0.3">
      <c r="B1179" s="33"/>
      <c r="D1179" s="63"/>
      <c r="E1179" s="63"/>
      <c r="F1179" s="33"/>
      <c r="G1179" s="30"/>
      <c r="I1179" s="32"/>
    </row>
    <row r="1180" spans="2:9" x14ac:dyDescent="0.3">
      <c r="B1180" s="33"/>
      <c r="D1180" s="63"/>
      <c r="E1180" s="63"/>
      <c r="F1180" s="33"/>
      <c r="G1180" s="30"/>
      <c r="I1180" s="32"/>
    </row>
    <row r="1181" spans="2:9" x14ac:dyDescent="0.3">
      <c r="B1181" s="33"/>
      <c r="D1181" s="63"/>
      <c r="E1181" s="63"/>
      <c r="F1181" s="33"/>
      <c r="G1181" s="30"/>
      <c r="I1181" s="32"/>
    </row>
    <row r="1182" spans="2:9" x14ac:dyDescent="0.3">
      <c r="B1182" s="33"/>
      <c r="D1182" s="63"/>
      <c r="E1182" s="63"/>
      <c r="F1182" s="33"/>
      <c r="G1182" s="30"/>
      <c r="I1182" s="32"/>
    </row>
    <row r="1183" spans="2:9" x14ac:dyDescent="0.3">
      <c r="B1183" s="33"/>
      <c r="D1183" s="63"/>
      <c r="E1183" s="63"/>
      <c r="F1183" s="33"/>
      <c r="G1183" s="30"/>
      <c r="I1183" s="32"/>
    </row>
    <row r="1184" spans="2:9" x14ac:dyDescent="0.3">
      <c r="B1184" s="33"/>
      <c r="D1184" s="63"/>
      <c r="E1184" s="63"/>
      <c r="F1184" s="33"/>
      <c r="G1184" s="30"/>
      <c r="I1184" s="32"/>
    </row>
    <row r="1185" spans="2:9" x14ac:dyDescent="0.3">
      <c r="B1185" s="33"/>
      <c r="D1185" s="63"/>
      <c r="E1185" s="63"/>
      <c r="F1185" s="33"/>
      <c r="G1185" s="30"/>
      <c r="I1185" s="32"/>
    </row>
    <row r="1186" spans="2:9" x14ac:dyDescent="0.3">
      <c r="B1186" s="33"/>
      <c r="D1186" s="63"/>
      <c r="E1186" s="63"/>
      <c r="F1186" s="33"/>
      <c r="G1186" s="30"/>
      <c r="I1186" s="32"/>
    </row>
    <row r="1187" spans="2:9" x14ac:dyDescent="0.3">
      <c r="B1187" s="33"/>
      <c r="D1187" s="63"/>
      <c r="E1187" s="63"/>
      <c r="F1187" s="33"/>
      <c r="G1187" s="30"/>
      <c r="I1187" s="32"/>
    </row>
    <row r="1188" spans="2:9" x14ac:dyDescent="0.3">
      <c r="B1188" s="33"/>
      <c r="D1188" s="63"/>
      <c r="E1188" s="63"/>
      <c r="F1188" s="33"/>
      <c r="G1188" s="30"/>
      <c r="I1188" s="32"/>
    </row>
    <row r="1189" spans="2:9" x14ac:dyDescent="0.3">
      <c r="B1189" s="33"/>
      <c r="D1189" s="63"/>
      <c r="E1189" s="63"/>
      <c r="F1189" s="33"/>
      <c r="G1189" s="30"/>
      <c r="I1189" s="32"/>
    </row>
    <row r="1190" spans="2:9" x14ac:dyDescent="0.3">
      <c r="B1190" s="33"/>
      <c r="D1190" s="63"/>
      <c r="E1190" s="63"/>
      <c r="F1190" s="33"/>
      <c r="G1190" s="30"/>
      <c r="I1190" s="32"/>
    </row>
    <row r="1191" spans="2:9" x14ac:dyDescent="0.3">
      <c r="B1191" s="33"/>
      <c r="D1191" s="63"/>
      <c r="E1191" s="63"/>
      <c r="F1191" s="33"/>
      <c r="G1191" s="30"/>
      <c r="I1191" s="32"/>
    </row>
    <row r="1192" spans="2:9" x14ac:dyDescent="0.3">
      <c r="B1192" s="33"/>
      <c r="D1192" s="63"/>
      <c r="E1192" s="63"/>
      <c r="F1192" s="33"/>
      <c r="G1192" s="30"/>
      <c r="I1192" s="32"/>
    </row>
    <row r="1193" spans="2:9" x14ac:dyDescent="0.3">
      <c r="B1193" s="33"/>
      <c r="D1193" s="63"/>
      <c r="E1193" s="63"/>
      <c r="F1193" s="33"/>
      <c r="G1193" s="30"/>
      <c r="I1193" s="32"/>
    </row>
    <row r="1194" spans="2:9" x14ac:dyDescent="0.3">
      <c r="B1194" s="33"/>
      <c r="D1194" s="63"/>
      <c r="E1194" s="63"/>
      <c r="F1194" s="33"/>
      <c r="G1194" s="30"/>
      <c r="I1194" s="32"/>
    </row>
    <row r="1195" spans="2:9" x14ac:dyDescent="0.3">
      <c r="B1195" s="33"/>
      <c r="D1195" s="63"/>
      <c r="E1195" s="63"/>
      <c r="F1195" s="33"/>
      <c r="G1195" s="30"/>
      <c r="I1195" s="32"/>
    </row>
    <row r="1196" spans="2:9" x14ac:dyDescent="0.3">
      <c r="B1196" s="33"/>
      <c r="D1196" s="63"/>
      <c r="E1196" s="63"/>
      <c r="F1196" s="33"/>
      <c r="G1196" s="30"/>
      <c r="I1196" s="32"/>
    </row>
    <row r="1197" spans="2:9" x14ac:dyDescent="0.3">
      <c r="B1197" s="33"/>
      <c r="D1197" s="63"/>
      <c r="E1197" s="63"/>
      <c r="F1197" s="33"/>
      <c r="G1197" s="30"/>
      <c r="I1197" s="32"/>
    </row>
    <row r="1198" spans="2:9" x14ac:dyDescent="0.3">
      <c r="B1198" s="33"/>
      <c r="D1198" s="63"/>
      <c r="E1198" s="63"/>
      <c r="F1198" s="33"/>
      <c r="G1198" s="30"/>
      <c r="I1198" s="32"/>
    </row>
    <row r="1199" spans="2:9" x14ac:dyDescent="0.3">
      <c r="B1199" s="33"/>
      <c r="D1199" s="63"/>
      <c r="E1199" s="63"/>
      <c r="F1199" s="33"/>
      <c r="G1199" s="30"/>
      <c r="I1199" s="32"/>
    </row>
    <row r="1200" spans="2:9" x14ac:dyDescent="0.3">
      <c r="B1200" s="33"/>
      <c r="D1200" s="63"/>
      <c r="E1200" s="63"/>
      <c r="F1200" s="33"/>
      <c r="G1200" s="30"/>
      <c r="I1200" s="32"/>
    </row>
    <row r="1201" spans="2:9" x14ac:dyDescent="0.3">
      <c r="B1201" s="33"/>
      <c r="D1201" s="63"/>
      <c r="E1201" s="63"/>
      <c r="F1201" s="33"/>
      <c r="G1201" s="30"/>
      <c r="I1201" s="32"/>
    </row>
    <row r="1202" spans="2:9" x14ac:dyDescent="0.3">
      <c r="B1202" s="33"/>
      <c r="D1202" s="63"/>
      <c r="E1202" s="63"/>
      <c r="F1202" s="33"/>
      <c r="G1202" s="30"/>
      <c r="I1202" s="32"/>
    </row>
    <row r="1203" spans="2:9" x14ac:dyDescent="0.3">
      <c r="B1203" s="33"/>
      <c r="D1203" s="63"/>
      <c r="E1203" s="63"/>
      <c r="F1203" s="33"/>
      <c r="G1203" s="30"/>
      <c r="I1203" s="32"/>
    </row>
    <row r="1204" spans="2:9" x14ac:dyDescent="0.3">
      <c r="B1204" s="33"/>
      <c r="D1204" s="63"/>
      <c r="E1204" s="63"/>
      <c r="F1204" s="33"/>
      <c r="G1204" s="30"/>
      <c r="I1204" s="32"/>
    </row>
    <row r="1205" spans="2:9" x14ac:dyDescent="0.3">
      <c r="B1205" s="33"/>
      <c r="D1205" s="63"/>
      <c r="E1205" s="63"/>
      <c r="F1205" s="33"/>
      <c r="G1205" s="30"/>
      <c r="I1205" s="32"/>
    </row>
    <row r="1206" spans="2:9" x14ac:dyDescent="0.3">
      <c r="B1206" s="33"/>
      <c r="D1206" s="63"/>
      <c r="E1206" s="63"/>
      <c r="F1206" s="33"/>
      <c r="G1206" s="30"/>
      <c r="I1206" s="32"/>
    </row>
    <row r="1207" spans="2:9" x14ac:dyDescent="0.3">
      <c r="B1207" s="33"/>
      <c r="D1207" s="63"/>
      <c r="E1207" s="63"/>
      <c r="F1207" s="33"/>
      <c r="G1207" s="30"/>
      <c r="I1207" s="32"/>
    </row>
    <row r="1208" spans="2:9" x14ac:dyDescent="0.3">
      <c r="B1208" s="33"/>
      <c r="D1208" s="63"/>
      <c r="E1208" s="63"/>
      <c r="F1208" s="33"/>
      <c r="G1208" s="30"/>
      <c r="I1208" s="32"/>
    </row>
    <row r="1209" spans="2:9" x14ac:dyDescent="0.3">
      <c r="B1209" s="33"/>
      <c r="D1209" s="63"/>
      <c r="E1209" s="63"/>
      <c r="F1209" s="33"/>
      <c r="G1209" s="30"/>
      <c r="I1209" s="32"/>
    </row>
    <row r="1210" spans="2:9" x14ac:dyDescent="0.3">
      <c r="B1210" s="33"/>
      <c r="D1210" s="63"/>
      <c r="E1210" s="63"/>
      <c r="F1210" s="33"/>
      <c r="G1210" s="30"/>
      <c r="I1210" s="32"/>
    </row>
    <row r="1211" spans="2:9" x14ac:dyDescent="0.3">
      <c r="B1211" s="33"/>
      <c r="D1211" s="63"/>
      <c r="E1211" s="63"/>
      <c r="F1211" s="33"/>
      <c r="G1211" s="30"/>
      <c r="I1211" s="32"/>
    </row>
    <row r="1212" spans="2:9" x14ac:dyDescent="0.3">
      <c r="B1212" s="33"/>
      <c r="D1212" s="63"/>
      <c r="E1212" s="63"/>
      <c r="F1212" s="33"/>
      <c r="G1212" s="30"/>
      <c r="I1212" s="32"/>
    </row>
    <row r="1213" spans="2:9" x14ac:dyDescent="0.3">
      <c r="B1213" s="33"/>
      <c r="D1213" s="63"/>
      <c r="E1213" s="63"/>
      <c r="F1213" s="33"/>
      <c r="G1213" s="30"/>
      <c r="I1213" s="32"/>
    </row>
    <row r="1214" spans="2:9" x14ac:dyDescent="0.3">
      <c r="B1214" s="33"/>
      <c r="D1214" s="63"/>
      <c r="E1214" s="63"/>
      <c r="F1214" s="33"/>
      <c r="G1214" s="30"/>
      <c r="I1214" s="32"/>
    </row>
    <row r="1215" spans="2:9" x14ac:dyDescent="0.3">
      <c r="B1215" s="33"/>
      <c r="D1215" s="63"/>
      <c r="E1215" s="63"/>
      <c r="F1215" s="33"/>
      <c r="G1215" s="30"/>
      <c r="I1215" s="32"/>
    </row>
    <row r="1216" spans="2:9" x14ac:dyDescent="0.3">
      <c r="B1216" s="33"/>
      <c r="D1216" s="63"/>
      <c r="E1216" s="63"/>
      <c r="F1216" s="33"/>
      <c r="G1216" s="30"/>
      <c r="I1216" s="32"/>
    </row>
    <row r="1217" spans="2:9" x14ac:dyDescent="0.3">
      <c r="B1217" s="33"/>
      <c r="D1217" s="63"/>
      <c r="E1217" s="63"/>
      <c r="F1217" s="33"/>
      <c r="G1217" s="30"/>
      <c r="I1217" s="32"/>
    </row>
    <row r="1218" spans="2:9" x14ac:dyDescent="0.3">
      <c r="B1218" s="33"/>
      <c r="D1218" s="63"/>
      <c r="E1218" s="63"/>
      <c r="F1218" s="33"/>
      <c r="G1218" s="30"/>
      <c r="I1218" s="32"/>
    </row>
    <row r="1219" spans="2:9" x14ac:dyDescent="0.3">
      <c r="B1219" s="33"/>
      <c r="D1219" s="63"/>
      <c r="E1219" s="63"/>
      <c r="F1219" s="33"/>
      <c r="G1219" s="30"/>
      <c r="I1219" s="32"/>
    </row>
    <row r="1220" spans="2:9" x14ac:dyDescent="0.3">
      <c r="B1220" s="33"/>
      <c r="D1220" s="63"/>
      <c r="E1220" s="63"/>
      <c r="F1220" s="33"/>
      <c r="G1220" s="30"/>
      <c r="I1220" s="32"/>
    </row>
    <row r="1221" spans="2:9" x14ac:dyDescent="0.3">
      <c r="B1221" s="33"/>
      <c r="D1221" s="63"/>
      <c r="E1221" s="63"/>
      <c r="F1221" s="33"/>
      <c r="G1221" s="30"/>
      <c r="I1221" s="32"/>
    </row>
    <row r="1222" spans="2:9" x14ac:dyDescent="0.3">
      <c r="B1222" s="33"/>
      <c r="D1222" s="63"/>
      <c r="E1222" s="63"/>
      <c r="F1222" s="33"/>
      <c r="G1222" s="30"/>
      <c r="I1222" s="32"/>
    </row>
    <row r="1223" spans="2:9" x14ac:dyDescent="0.3">
      <c r="B1223" s="33"/>
      <c r="D1223" s="63"/>
      <c r="E1223" s="63"/>
      <c r="F1223" s="33"/>
      <c r="G1223" s="30"/>
      <c r="I1223" s="32"/>
    </row>
    <row r="1224" spans="2:9" x14ac:dyDescent="0.3">
      <c r="B1224" s="33"/>
      <c r="D1224" s="63"/>
      <c r="E1224" s="63"/>
      <c r="F1224" s="33"/>
      <c r="G1224" s="30"/>
      <c r="I1224" s="32"/>
    </row>
    <row r="1225" spans="2:9" x14ac:dyDescent="0.3">
      <c r="B1225" s="33"/>
      <c r="D1225" s="63"/>
      <c r="E1225" s="63"/>
      <c r="F1225" s="33"/>
      <c r="G1225" s="30"/>
      <c r="I1225" s="32"/>
    </row>
    <row r="1226" spans="2:9" x14ac:dyDescent="0.3">
      <c r="B1226" s="33"/>
      <c r="D1226" s="63"/>
      <c r="E1226" s="63"/>
      <c r="F1226" s="33"/>
      <c r="G1226" s="30"/>
      <c r="I1226" s="32"/>
    </row>
    <row r="1227" spans="2:9" x14ac:dyDescent="0.3">
      <c r="B1227" s="33"/>
      <c r="D1227" s="63"/>
      <c r="E1227" s="63"/>
      <c r="F1227" s="33"/>
      <c r="G1227" s="30"/>
      <c r="I1227" s="32"/>
    </row>
    <row r="1228" spans="2:9" x14ac:dyDescent="0.3">
      <c r="B1228" s="33"/>
      <c r="D1228" s="63"/>
      <c r="E1228" s="63"/>
      <c r="F1228" s="33"/>
      <c r="G1228" s="30"/>
      <c r="I1228" s="32"/>
    </row>
    <row r="1229" spans="2:9" x14ac:dyDescent="0.3">
      <c r="B1229" s="33"/>
      <c r="D1229" s="63"/>
      <c r="E1229" s="63"/>
      <c r="F1229" s="33"/>
      <c r="G1229" s="30"/>
      <c r="I1229" s="32"/>
    </row>
    <row r="1230" spans="2:9" x14ac:dyDescent="0.3">
      <c r="B1230" s="33"/>
      <c r="D1230" s="63"/>
      <c r="E1230" s="63"/>
      <c r="F1230" s="33"/>
      <c r="G1230" s="30"/>
      <c r="I1230" s="32"/>
    </row>
    <row r="1231" spans="2:9" x14ac:dyDescent="0.3">
      <c r="B1231" s="33"/>
      <c r="D1231" s="63"/>
      <c r="E1231" s="63"/>
      <c r="F1231" s="33"/>
      <c r="G1231" s="30"/>
      <c r="I1231" s="32"/>
    </row>
    <row r="1232" spans="2:9" x14ac:dyDescent="0.3">
      <c r="B1232" s="33"/>
      <c r="D1232" s="63"/>
      <c r="E1232" s="63"/>
      <c r="F1232" s="33"/>
      <c r="G1232" s="30"/>
      <c r="I1232" s="32"/>
    </row>
    <row r="1233" spans="2:9" x14ac:dyDescent="0.3">
      <c r="B1233" s="33"/>
      <c r="D1233" s="63"/>
      <c r="E1233" s="63"/>
      <c r="F1233" s="33"/>
      <c r="G1233" s="30"/>
      <c r="I1233" s="32"/>
    </row>
    <row r="1235" spans="2:9" x14ac:dyDescent="0.3">
      <c r="G1235" s="30"/>
    </row>
    <row r="1236" spans="2:9" x14ac:dyDescent="0.3">
      <c r="G1236" s="3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E8C-01A1-4CB9-983E-BB59DF57C964}">
  <sheetPr>
    <pageSetUpPr fitToPage="1"/>
  </sheetPr>
  <dimension ref="A2:L67"/>
  <sheetViews>
    <sheetView showGridLines="0" tabSelected="1" zoomScale="90" zoomScaleNormal="100" workbookViewId="0">
      <selection activeCell="N76" sqref="N76"/>
    </sheetView>
  </sheetViews>
  <sheetFormatPr defaultRowHeight="14.4" x14ac:dyDescent="0.3"/>
  <cols>
    <col min="1" max="1" width="1.88671875" customWidth="1"/>
    <col min="2" max="2" width="42.33203125" bestFit="1" customWidth="1"/>
    <col min="3" max="3" width="12.44140625" customWidth="1"/>
    <col min="4" max="4" width="10.88671875" customWidth="1"/>
    <col min="5" max="5" width="10.6640625" customWidth="1"/>
    <col min="6" max="6" width="10.5546875" bestFit="1" customWidth="1"/>
    <col min="7" max="7" width="10.5546875" customWidth="1"/>
    <col min="8" max="8" width="0.6640625" customWidth="1"/>
    <col min="11" max="11" width="9.88671875" customWidth="1"/>
  </cols>
  <sheetData>
    <row r="2" spans="2:12" ht="18" x14ac:dyDescent="0.35">
      <c r="B2" s="91" t="str">
        <f>'Data Sheet'!B1&amp; " - One Page Profile"</f>
        <v>ITC LTD - One Page Profile</v>
      </c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2:12" s="20" customFormat="1" ht="3.6" customHeight="1" x14ac:dyDescent="0.35">
      <c r="B3" s="25"/>
      <c r="C3" s="25"/>
      <c r="D3" s="25"/>
      <c r="E3" s="25"/>
      <c r="F3" s="25"/>
      <c r="G3" s="25"/>
      <c r="H3" s="25"/>
      <c r="I3" s="25"/>
      <c r="J3" s="25"/>
    </row>
    <row r="4" spans="2:12" ht="79.95" customHeight="1" x14ac:dyDescent="0.3">
      <c r="C4" s="89" t="str">
        <f>Input!B2</f>
        <v xml:space="preserve">ITC Limited is a leading Indian diversified company headquartered in Kolkata, established in 1910. It operates across multiple business segments including FMCG (foods and personal care), cigarettes, hotels, paper &amp; packaging, and agri-business. While a large share of its profits still comes from the cigarette segment, its FMCG division is growing rapidly with popular brands like Aashirvaad and Sunfeast.The company has a strong distribution network across India and focuses on sustainability initiatives. </v>
      </c>
      <c r="D4" s="89"/>
      <c r="E4" s="89"/>
      <c r="F4" s="89"/>
      <c r="G4" s="89"/>
      <c r="H4" s="89"/>
      <c r="I4" s="89"/>
      <c r="J4" s="89"/>
      <c r="K4" s="89"/>
      <c r="L4" s="89"/>
    </row>
    <row r="5" spans="2:12" x14ac:dyDescent="0.3">
      <c r="B5" s="28" t="s">
        <v>83</v>
      </c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2:12" ht="15.6" x14ac:dyDescent="0.3">
      <c r="B6" s="36" t="s">
        <v>107</v>
      </c>
      <c r="C6" s="38">
        <f>'Profit &amp; Loss'!G3</f>
        <v>44286</v>
      </c>
      <c r="D6" s="38">
        <f>'Profit &amp; Loss'!H3</f>
        <v>44651</v>
      </c>
      <c r="E6" s="38">
        <f>'Profit &amp; Loss'!I3</f>
        <v>45016</v>
      </c>
      <c r="F6" s="38">
        <f>'Profit &amp; Loss'!J3</f>
        <v>45382</v>
      </c>
      <c r="G6" s="38">
        <f>'Profit &amp; Loss'!K3</f>
        <v>45747</v>
      </c>
      <c r="H6" s="39"/>
      <c r="I6" s="82" t="s">
        <v>162</v>
      </c>
      <c r="J6" s="82"/>
      <c r="K6" s="82"/>
      <c r="L6" s="82"/>
    </row>
    <row r="7" spans="2:12" ht="1.8" customHeight="1" x14ac:dyDescent="0.3">
      <c r="B7" s="34"/>
      <c r="C7" s="22"/>
      <c r="D7" s="22"/>
      <c r="E7" s="22"/>
      <c r="F7" s="22"/>
      <c r="G7" s="22"/>
    </row>
    <row r="8" spans="2:12" x14ac:dyDescent="0.3">
      <c r="B8" s="43" t="s">
        <v>84</v>
      </c>
      <c r="C8" s="44">
        <f>'Profit &amp; Loss'!G4</f>
        <v>49257.45</v>
      </c>
      <c r="D8" s="44">
        <f>'Profit &amp; Loss'!H4</f>
        <v>60644.54</v>
      </c>
      <c r="E8" s="44">
        <f>'Profit &amp; Loss'!I4</f>
        <v>70919.03</v>
      </c>
      <c r="F8" s="44">
        <f>'Profit &amp; Loss'!J4</f>
        <v>67931.94</v>
      </c>
      <c r="G8" s="44">
        <f>'Profit &amp; Loss'!K4</f>
        <v>75323.34</v>
      </c>
    </row>
    <row r="9" spans="2:12" x14ac:dyDescent="0.3">
      <c r="B9" s="43" t="s">
        <v>97</v>
      </c>
      <c r="C9" s="45">
        <f>'Profit &amp; Loss'!G27</f>
        <v>-2.6372963308678443E-3</v>
      </c>
      <c r="D9" s="45">
        <f>'Profit &amp; Loss'!H27</f>
        <v>0.23117497962237188</v>
      </c>
      <c r="E9" s="45">
        <f>'Profit &amp; Loss'!I27</f>
        <v>0.1694215175842706</v>
      </c>
      <c r="F9" s="45">
        <f>'Profit &amp; Loss'!J27</f>
        <v>-4.2119724423754779E-2</v>
      </c>
      <c r="G9" s="45">
        <f>'Profit &amp; Loss'!K27</f>
        <v>0.10880596078957838</v>
      </c>
    </row>
    <row r="10" spans="2:12" x14ac:dyDescent="0.3">
      <c r="B10" s="43" t="s">
        <v>86</v>
      </c>
      <c r="C10" s="45">
        <f>'Profit &amp; Loss'!G30</f>
        <v>0.51867747924425645</v>
      </c>
      <c r="D10" s="45">
        <f>'Profit &amp; Loss'!H30</f>
        <v>0.49650026201864172</v>
      </c>
      <c r="E10" s="45">
        <f>'Profit &amp; Loss'!I30</f>
        <v>0.53068887152009836</v>
      </c>
      <c r="F10" s="45">
        <f>'Profit &amp; Loss'!J30</f>
        <v>0.54582483585777175</v>
      </c>
      <c r="G10" s="45">
        <f>'Profit &amp; Loss'!K30</f>
        <v>0.51209372818571242</v>
      </c>
    </row>
    <row r="11" spans="2:12" x14ac:dyDescent="0.3">
      <c r="B11" s="43" t="s">
        <v>88</v>
      </c>
      <c r="C11" s="45">
        <f>'Profit &amp; Loss'!G32</f>
        <v>0.34644058919006154</v>
      </c>
      <c r="D11" s="45">
        <f>'Profit &amp; Loss'!H32</f>
        <v>0.3400660636555245</v>
      </c>
      <c r="E11" s="45">
        <f>'Profit &amp; Loss'!I32</f>
        <v>0.36244517162741785</v>
      </c>
      <c r="F11" s="45">
        <f>'Profit &amp; Loss'!J32</f>
        <v>0.37077595605248426</v>
      </c>
      <c r="G11" s="45">
        <f>'Profit &amp; Loss'!K32</f>
        <v>0.34304705553418102</v>
      </c>
    </row>
    <row r="12" spans="2:12" x14ac:dyDescent="0.3">
      <c r="B12" s="43" t="s">
        <v>89</v>
      </c>
      <c r="C12" s="45">
        <f>'Profit &amp; Loss'!G34</f>
        <v>0.31303264785326884</v>
      </c>
      <c r="D12" s="45">
        <f>'Profit &amp; Loss'!H34</f>
        <v>0.3114994358931571</v>
      </c>
      <c r="E12" s="45">
        <f>'Profit &amp; Loss'!I34</f>
        <v>0.33693706752616326</v>
      </c>
      <c r="F12" s="45">
        <f>'Profit &amp; Loss'!J34</f>
        <v>0.34842932499793172</v>
      </c>
      <c r="G12" s="45">
        <f>'Profit &amp; Loss'!K34</f>
        <v>0.3211903508261848</v>
      </c>
    </row>
    <row r="13" spans="2:12" x14ac:dyDescent="0.3">
      <c r="B13" s="43" t="s">
        <v>90</v>
      </c>
      <c r="C13" s="45">
        <f>'Profit &amp; Loss'!G36</f>
        <v>0.26719186640802561</v>
      </c>
      <c r="D13" s="45">
        <f>'Profit &amp; Loss'!H36</f>
        <v>0.25134430898478244</v>
      </c>
      <c r="E13" s="45">
        <f>'Profit &amp; Loss'!I36</f>
        <v>0.27061368436652333</v>
      </c>
      <c r="F13" s="45">
        <f>'Profit &amp; Loss'!J36</f>
        <v>0.30116584334261615</v>
      </c>
      <c r="G13" s="45">
        <f>'Profit &amp; Loss'!K36</f>
        <v>0.46129964497060272</v>
      </c>
    </row>
    <row r="14" spans="2:12" x14ac:dyDescent="0.3">
      <c r="B14" s="43" t="s">
        <v>92</v>
      </c>
      <c r="C14" s="46">
        <f>'Profit &amp; Loss'!G13</f>
        <v>10.692504549590536</v>
      </c>
      <c r="D14" s="46">
        <f>'Profit &amp; Loss'!H13</f>
        <v>12.368975842509718</v>
      </c>
      <c r="E14" s="46">
        <f>'Profit &amp; Loss'!I13</f>
        <v>15.442275506919859</v>
      </c>
      <c r="F14" s="46">
        <f>'Profit &amp; Loss'!J13</f>
        <v>16.387081788108645</v>
      </c>
      <c r="G14" s="46">
        <f>'Profit &amp; Loss'!K13</f>
        <v>27.765983970081745</v>
      </c>
    </row>
    <row r="15" spans="2:12" x14ac:dyDescent="0.3">
      <c r="B15" s="43" t="s">
        <v>96</v>
      </c>
      <c r="C15" s="45">
        <f>'Profit &amp; Loss'!G38</f>
        <v>-0.14130125821657724</v>
      </c>
      <c r="D15" s="45">
        <f>'Profit &amp; Loss'!H38</f>
        <v>0.15678939252669122</v>
      </c>
      <c r="E15" s="45">
        <f>'Profit &amp; Loss'!I38</f>
        <v>0.24846840219768396</v>
      </c>
      <c r="F15" s="45">
        <f>'Profit &amp; Loss'!J38</f>
        <v>6.1183099651693551E-2</v>
      </c>
      <c r="G15" s="45">
        <f>'Profit &amp; Loss'!K38</f>
        <v>0.69438246108164581</v>
      </c>
    </row>
    <row r="16" spans="2:12" x14ac:dyDescent="0.3">
      <c r="B16" s="43" t="s">
        <v>93</v>
      </c>
      <c r="C16" s="46">
        <f>'Profit &amp; Loss'!G40</f>
        <v>10.749999999999998</v>
      </c>
      <c r="D16" s="46">
        <f>'Profit &amp; Loss'!H40</f>
        <v>11.500004057354767</v>
      </c>
      <c r="E16" s="46">
        <f>'Profit &amp; Loss'!I40</f>
        <v>15.500000000000004</v>
      </c>
      <c r="F16" s="46">
        <f>'Profit &amp; Loss'!J40</f>
        <v>13.749997997549</v>
      </c>
      <c r="G16" s="46">
        <f>'Profit &amp; Loss'!K40</f>
        <v>14.349997203154841</v>
      </c>
    </row>
    <row r="17" spans="2:12" x14ac:dyDescent="0.3">
      <c r="B17" s="43" t="s">
        <v>95</v>
      </c>
      <c r="C17" s="45">
        <f>'Profit &amp; Loss'!G41</f>
        <v>5.9113555156941722E-2</v>
      </c>
      <c r="D17" s="45">
        <f>'Profit &amp; Loss'!H41</f>
        <v>6.9767819288815591E-2</v>
      </c>
      <c r="E17" s="45">
        <f>'Profit &amp; Loss'!I41</f>
        <v>0.34782561142550739</v>
      </c>
      <c r="F17" s="45">
        <f>'Profit &amp; Loss'!J41</f>
        <v>-0.1129033549968389</v>
      </c>
      <c r="G17" s="45">
        <f>'Profit &amp; Loss'!K41</f>
        <v>4.3636312217121276E-2</v>
      </c>
    </row>
    <row r="18" spans="2:12" ht="9" customHeight="1" x14ac:dyDescent="0.3">
      <c r="B18" s="34"/>
    </row>
    <row r="19" spans="2:12" ht="15.6" x14ac:dyDescent="0.3">
      <c r="B19" s="36" t="s">
        <v>108</v>
      </c>
      <c r="C19" s="37">
        <f>C6</f>
        <v>44286</v>
      </c>
      <c r="D19" s="37">
        <f t="shared" ref="D19:G19" si="0">D6</f>
        <v>44651</v>
      </c>
      <c r="E19" s="37">
        <f t="shared" si="0"/>
        <v>45016</v>
      </c>
      <c r="F19" s="37">
        <f t="shared" si="0"/>
        <v>45382</v>
      </c>
      <c r="G19" s="37">
        <f t="shared" si="0"/>
        <v>45747</v>
      </c>
      <c r="I19" s="82" t="s">
        <v>163</v>
      </c>
      <c r="J19" s="82"/>
      <c r="K19" s="82"/>
      <c r="L19" s="82"/>
    </row>
    <row r="20" spans="2:12" ht="1.8" customHeight="1" x14ac:dyDescent="0.3">
      <c r="B20" s="34"/>
    </row>
    <row r="21" spans="2:12" x14ac:dyDescent="0.3">
      <c r="B21" s="43" t="str">
        <f>'Profit &amp; Loss'!A14</f>
        <v>Price to earning</v>
      </c>
      <c r="C21" s="47">
        <f>'Profit &amp; Loss'!G14</f>
        <v>19.155474664525016</v>
      </c>
      <c r="D21" s="47">
        <f>'Profit &amp; Loss'!H14</f>
        <v>18.995913889045614</v>
      </c>
      <c r="E21" s="47">
        <f>'Profit &amp; Loss'!I14</f>
        <v>23.279600201337455</v>
      </c>
      <c r="F21" s="47">
        <f>'Profit &amp; Loss'!J14</f>
        <v>24.502837368601647</v>
      </c>
      <c r="G21" s="47">
        <f>'Profit &amp; Loss'!K14</f>
        <v>14.757265596692401</v>
      </c>
    </row>
    <row r="22" spans="2:12" x14ac:dyDescent="0.3">
      <c r="B22" s="43" t="str">
        <f>'Profit &amp; Loss'!A48</f>
        <v>Ev/EBITDA</v>
      </c>
      <c r="C22" s="47">
        <f>'Profit &amp; Loss'!G48</f>
        <v>14.516486681926171</v>
      </c>
      <c r="D22" s="47">
        <f>'Profit &amp; Loss'!H48</f>
        <v>13.826368755500493</v>
      </c>
      <c r="E22" s="47">
        <f>'Profit &amp; Loss'!I48</f>
        <v>17.203374926957636</v>
      </c>
      <c r="F22" s="47">
        <f>'Profit &amp; Loss'!J48</f>
        <v>19.628121896033473</v>
      </c>
      <c r="G22" s="47">
        <f>'Profit &amp; Loss'!K48</f>
        <v>19.700010158884965</v>
      </c>
    </row>
    <row r="23" spans="2:12" x14ac:dyDescent="0.3">
      <c r="B23" s="43" t="str">
        <f>'Profit &amp; Loss'!A49</f>
        <v>EV/Sales</v>
      </c>
      <c r="C23" s="47">
        <f>'Profit &amp; Loss'!G49</f>
        <v>5.0291001990561837</v>
      </c>
      <c r="D23" s="47">
        <f>'Profit &amp; Loss'!H49</f>
        <v>4.7018787973327854</v>
      </c>
      <c r="E23" s="47">
        <f>'Profit &amp; Loss'!I49</f>
        <v>6.2352801779719771</v>
      </c>
      <c r="F23" s="47">
        <f>'Profit &amp; Loss'!J49</f>
        <v>7.2776356615165119</v>
      </c>
      <c r="G23" s="47">
        <f>'Profit &amp; Loss'!K49</f>
        <v>6.7580304789989407</v>
      </c>
    </row>
    <row r="24" spans="2:12" x14ac:dyDescent="0.3">
      <c r="B24" s="48" t="s">
        <v>109</v>
      </c>
      <c r="C24" s="47">
        <f>'Profit &amp; Loss'!G51</f>
        <v>4.177629728170289</v>
      </c>
      <c r="D24" s="47">
        <f>'Profit &amp; Loss'!H51</f>
        <v>4.6360677966753006</v>
      </c>
      <c r="E24" s="47">
        <f>'Profit &amp; Loss'!I51</f>
        <v>6.4604510488428497</v>
      </c>
      <c r="F24" s="47">
        <f>'Profit &amp; Loss'!J51</f>
        <v>6.728202170265881</v>
      </c>
      <c r="G24" s="47">
        <f>'Profit &amp; Loss'!K51</f>
        <v>7.3220745594212779</v>
      </c>
    </row>
    <row r="25" spans="2:12" x14ac:dyDescent="0.3">
      <c r="B25" s="48" t="str">
        <f>'Balance Sheet'!A23</f>
        <v>Return on Equity</v>
      </c>
      <c r="C25" s="49">
        <f>'Balance Sheet'!G23</f>
        <v>0.21809063995198466</v>
      </c>
      <c r="D25" s="49">
        <f>'Balance Sheet'!H23</f>
        <v>0.24405605456807136</v>
      </c>
      <c r="E25" s="49">
        <f>'Balance Sheet'!I23</f>
        <v>0.2775155497933201</v>
      </c>
      <c r="F25" s="49">
        <f>'Balance Sheet'!J23</f>
        <v>0.27458869636409999</v>
      </c>
      <c r="G25" s="49">
        <f>'Balance Sheet'!K23</f>
        <v>0.49616743098141436</v>
      </c>
    </row>
    <row r="26" spans="2:12" x14ac:dyDescent="0.3">
      <c r="B26" s="48" t="str">
        <f>'Balance Sheet'!A24</f>
        <v>Return on Capital Emp</v>
      </c>
      <c r="C26" s="49">
        <f>'Balance Sheet'!G24</f>
        <v>0.28527066262298589</v>
      </c>
      <c r="D26" s="49">
        <f>'Balance Sheet'!H24</f>
        <v>0.33733252742915004</v>
      </c>
      <c r="E26" s="49">
        <f>'Balance Sheet'!I24</f>
        <v>0.39333609298769096</v>
      </c>
      <c r="F26" s="49">
        <f>'Balance Sheet'!J24</f>
        <v>0.3742927321936183</v>
      </c>
      <c r="G26" s="49">
        <f>'Balance Sheet'!K24</f>
        <v>0.57864605289976878</v>
      </c>
    </row>
    <row r="27" spans="2:12" ht="9" customHeight="1" x14ac:dyDescent="0.3"/>
    <row r="28" spans="2:12" ht="14.4" customHeight="1" x14ac:dyDescent="0.3">
      <c r="B28" s="40" t="s">
        <v>121</v>
      </c>
      <c r="C28" s="90" t="str">
        <f>'Input Sheet'!G16</f>
        <v>No.of Share (In crs.)</v>
      </c>
      <c r="D28" s="90"/>
      <c r="E28" s="41" t="str">
        <f>'Input Sheet'!H16</f>
        <v>% Holding</v>
      </c>
      <c r="F28" s="90" t="str">
        <f>'Input Sheet'!I16</f>
        <v>Market Value (In Crs.)</v>
      </c>
      <c r="G28" s="90"/>
      <c r="I28" s="35" t="s">
        <v>128</v>
      </c>
      <c r="J28" s="35"/>
      <c r="K28" s="35"/>
      <c r="L28" s="35"/>
    </row>
    <row r="29" spans="2:12" ht="1.8" customHeight="1" x14ac:dyDescent="0.3"/>
    <row r="30" spans="2:12" x14ac:dyDescent="0.3">
      <c r="B30" s="48" t="s">
        <v>111</v>
      </c>
      <c r="C30" s="87">
        <f>'Input Sheet'!G17</f>
        <v>222.8495863</v>
      </c>
      <c r="D30" s="87"/>
      <c r="E30" s="50">
        <f>'Input Sheet'!H17</f>
        <v>0.1779</v>
      </c>
      <c r="F30" s="88">
        <f>'Input Sheet'!I17</f>
        <v>64938.369447819998</v>
      </c>
      <c r="G30" s="88"/>
    </row>
    <row r="31" spans="2:12" x14ac:dyDescent="0.3">
      <c r="B31" s="48" t="s">
        <v>112</v>
      </c>
      <c r="C31" s="87">
        <f>'Input Sheet'!G18</f>
        <v>196.57973699999999</v>
      </c>
      <c r="D31" s="87"/>
      <c r="E31" s="50">
        <f>'Input Sheet'!H18</f>
        <v>0.15689999999999998</v>
      </c>
      <c r="F31" s="88">
        <f>'Input Sheet'!I18</f>
        <v>57283.335361799996</v>
      </c>
      <c r="G31" s="88"/>
    </row>
    <row r="32" spans="2:12" x14ac:dyDescent="0.3">
      <c r="B32" s="48" t="s">
        <v>113</v>
      </c>
      <c r="C32" s="87">
        <f>'Input Sheet'!G19</f>
        <v>97.453142700000001</v>
      </c>
      <c r="D32" s="87"/>
      <c r="E32" s="50">
        <f>'Input Sheet'!H19</f>
        <v>7.7800000000000008E-2</v>
      </c>
      <c r="F32" s="88">
        <f>'Input Sheet'!I19</f>
        <v>28397.845782779998</v>
      </c>
      <c r="G32" s="88"/>
    </row>
    <row r="33" spans="1:12" x14ac:dyDescent="0.3">
      <c r="B33" s="48" t="s">
        <v>114</v>
      </c>
      <c r="C33" s="87">
        <f>'Input Sheet'!G20</f>
        <v>48.631194000000001</v>
      </c>
      <c r="D33" s="87"/>
      <c r="E33" s="50">
        <f>'Input Sheet'!H20</f>
        <v>3.8800000000000001E-2</v>
      </c>
      <c r="F33" s="88">
        <f>'Input Sheet'!I20</f>
        <v>14171.129931599999</v>
      </c>
      <c r="G33" s="88"/>
    </row>
    <row r="34" spans="1:12" x14ac:dyDescent="0.3">
      <c r="B34" s="48" t="s">
        <v>115</v>
      </c>
      <c r="C34" s="87">
        <f>'Input Sheet'!G21</f>
        <v>41.195288699999999</v>
      </c>
      <c r="D34" s="87"/>
      <c r="E34" s="50">
        <f>'Input Sheet'!H21</f>
        <v>3.2899999999999999E-2</v>
      </c>
      <c r="F34" s="88">
        <f>'Input Sheet'!I21</f>
        <v>12004.307127179998</v>
      </c>
      <c r="G34" s="88"/>
    </row>
    <row r="35" spans="1:12" x14ac:dyDescent="0.3">
      <c r="B35" s="48" t="s">
        <v>116</v>
      </c>
      <c r="C35" s="87">
        <f>'Input Sheet'!G22</f>
        <v>38.825180199999998</v>
      </c>
      <c r="D35" s="87"/>
      <c r="E35" s="50">
        <f>'Input Sheet'!H22</f>
        <v>3.1E-2</v>
      </c>
      <c r="F35" s="88">
        <f>'Input Sheet'!I22</f>
        <v>11313.657510279998</v>
      </c>
      <c r="G35" s="88"/>
    </row>
    <row r="36" spans="1:12" x14ac:dyDescent="0.3">
      <c r="B36" s="48" t="s">
        <v>117</v>
      </c>
      <c r="C36" s="87">
        <f>'Input Sheet'!G23</f>
        <v>31.2813783</v>
      </c>
      <c r="D36" s="87"/>
      <c r="E36" s="50">
        <f>'Input Sheet'!H23</f>
        <v>2.5000000000000001E-2</v>
      </c>
      <c r="F36" s="88">
        <f>'Input Sheet'!I23</f>
        <v>9115.3936366199996</v>
      </c>
      <c r="G36" s="88"/>
    </row>
    <row r="37" spans="1:12" x14ac:dyDescent="0.3">
      <c r="B37" s="48" t="s">
        <v>118</v>
      </c>
      <c r="C37" s="87">
        <f>'Input Sheet'!G24</f>
        <v>22.380053</v>
      </c>
      <c r="D37" s="87"/>
      <c r="E37" s="50">
        <f>'Input Sheet'!H24</f>
        <v>1.7899999999999999E-2</v>
      </c>
      <c r="F37" s="88">
        <f>'Input Sheet'!I24</f>
        <v>6521.5474441999995</v>
      </c>
      <c r="G37" s="88"/>
    </row>
    <row r="38" spans="1:12" x14ac:dyDescent="0.3">
      <c r="B38" s="48" t="s">
        <v>119</v>
      </c>
      <c r="C38" s="87">
        <f>'Input Sheet'!G25</f>
        <v>21.708550800000001</v>
      </c>
      <c r="D38" s="87"/>
      <c r="E38" s="50">
        <f>'Input Sheet'!H25</f>
        <v>1.7299999999999999E-2</v>
      </c>
      <c r="F38" s="88">
        <f>'Input Sheet'!I25</f>
        <v>6325.8717031199994</v>
      </c>
      <c r="G38" s="88"/>
    </row>
    <row r="39" spans="1:12" x14ac:dyDescent="0.3">
      <c r="B39" s="48" t="s">
        <v>120</v>
      </c>
      <c r="C39" s="87">
        <f>'Input Sheet'!G26</f>
        <v>20.230529600000001</v>
      </c>
      <c r="D39" s="87"/>
      <c r="E39" s="50">
        <f>'Input Sheet'!H26</f>
        <v>1.6200000000000003E-2</v>
      </c>
      <c r="F39" s="88">
        <f>'Input Sheet'!I26</f>
        <v>5895.1763254399993</v>
      </c>
      <c r="G39" s="88"/>
    </row>
    <row r="40" spans="1:12" ht="9" customHeight="1" x14ac:dyDescent="0.3">
      <c r="C40" s="92"/>
      <c r="D40" s="93"/>
      <c r="F40" s="85"/>
      <c r="G40" s="85"/>
    </row>
    <row r="41" spans="1:12" ht="15.6" x14ac:dyDescent="0.3">
      <c r="B41" s="40" t="s">
        <v>138</v>
      </c>
      <c r="C41" s="40" t="s">
        <v>140</v>
      </c>
      <c r="D41" s="84" t="s">
        <v>148</v>
      </c>
      <c r="E41" s="84"/>
      <c r="F41" s="84" t="s">
        <v>149</v>
      </c>
      <c r="G41" s="84"/>
      <c r="I41" s="35" t="s">
        <v>166</v>
      </c>
      <c r="J41" s="35"/>
      <c r="K41" s="35"/>
      <c r="L41" s="35"/>
    </row>
    <row r="42" spans="1:12" ht="3" customHeight="1" x14ac:dyDescent="0.3">
      <c r="F42" s="85"/>
      <c r="G42" s="85"/>
    </row>
    <row r="43" spans="1:12" x14ac:dyDescent="0.3">
      <c r="B43" s="48" t="s">
        <v>139</v>
      </c>
      <c r="C43" s="48" t="s">
        <v>141</v>
      </c>
      <c r="D43" s="83">
        <v>25.66</v>
      </c>
      <c r="E43" s="83"/>
      <c r="F43" s="86" t="s">
        <v>144</v>
      </c>
      <c r="G43" s="83"/>
      <c r="I43" s="48" t="s">
        <v>164</v>
      </c>
      <c r="J43" s="48"/>
      <c r="K43" s="48"/>
      <c r="L43" s="44">
        <f>'Data Sheet'!B8</f>
        <v>293.14999999999998</v>
      </c>
    </row>
    <row r="44" spans="1:12" x14ac:dyDescent="0.3">
      <c r="B44" s="48" t="s">
        <v>136</v>
      </c>
      <c r="C44" s="48" t="s">
        <v>142</v>
      </c>
      <c r="D44" s="83">
        <v>8.5299999999999994</v>
      </c>
      <c r="E44" s="83"/>
      <c r="F44" s="86" t="s">
        <v>145</v>
      </c>
      <c r="G44" s="83"/>
      <c r="I44" s="27" t="s">
        <v>129</v>
      </c>
      <c r="J44" s="27"/>
      <c r="K44" s="27"/>
      <c r="L44" s="52">
        <f>'Data Sheet'!B6</f>
        <v>1252.9466484734778</v>
      </c>
    </row>
    <row r="45" spans="1:12" ht="15" thickBot="1" x14ac:dyDescent="0.35">
      <c r="B45" s="48" t="s">
        <v>137</v>
      </c>
      <c r="C45" s="48" t="s">
        <v>143</v>
      </c>
      <c r="D45" s="83">
        <v>4.9400000000000004</v>
      </c>
      <c r="E45" s="83"/>
      <c r="F45" s="86" t="s">
        <v>146</v>
      </c>
      <c r="G45" s="83"/>
      <c r="I45" s="57" t="s">
        <v>130</v>
      </c>
      <c r="J45" s="57"/>
      <c r="K45" s="57"/>
      <c r="L45" s="58">
        <f>L43*L44</f>
        <v>367301.31</v>
      </c>
    </row>
    <row r="46" spans="1:12" x14ac:dyDescent="0.3">
      <c r="B46" s="48" t="s">
        <v>135</v>
      </c>
      <c r="C46" s="48" t="s">
        <v>143</v>
      </c>
      <c r="D46" s="83">
        <v>1.81</v>
      </c>
      <c r="E46" s="83"/>
      <c r="F46" s="86" t="s">
        <v>147</v>
      </c>
      <c r="G46" s="83"/>
      <c r="I46" s="54" t="s">
        <v>131</v>
      </c>
      <c r="J46" s="55"/>
      <c r="K46" s="55"/>
      <c r="L46" s="56">
        <f>'Data Sheet'!K69*-1</f>
        <v>-4012.36</v>
      </c>
    </row>
    <row r="47" spans="1:12" x14ac:dyDescent="0.3">
      <c r="A47" s="26"/>
      <c r="B47" s="26"/>
      <c r="C47" s="26"/>
      <c r="D47" s="26"/>
      <c r="E47" s="26"/>
      <c r="F47" s="26"/>
      <c r="G47" s="26"/>
      <c r="I47" s="51" t="s">
        <v>132</v>
      </c>
      <c r="J47" s="48"/>
      <c r="K47" s="48"/>
      <c r="L47" s="44">
        <f>'Data Sheet'!K59</f>
        <v>284.54000000000002</v>
      </c>
    </row>
    <row r="48" spans="1:12" ht="15" customHeight="1" x14ac:dyDescent="0.3">
      <c r="A48" s="26"/>
      <c r="B48" s="26"/>
      <c r="C48" s="26"/>
      <c r="D48" s="26"/>
      <c r="E48" s="26"/>
      <c r="F48" s="26"/>
      <c r="G48" s="26"/>
      <c r="I48" s="53" t="s">
        <v>133</v>
      </c>
      <c r="J48" s="27"/>
      <c r="K48" s="27"/>
      <c r="L48" s="52">
        <v>367.89</v>
      </c>
    </row>
    <row r="49" spans="1:12" ht="13.2" customHeight="1" thickBot="1" x14ac:dyDescent="0.35">
      <c r="A49" s="26"/>
      <c r="B49" s="26"/>
      <c r="C49" s="26"/>
      <c r="D49" s="26"/>
      <c r="E49" s="26"/>
      <c r="F49" s="26"/>
      <c r="G49" s="26"/>
      <c r="I49" s="59" t="s">
        <v>134</v>
      </c>
      <c r="J49" s="60"/>
      <c r="K49" s="60"/>
      <c r="L49" s="58">
        <f>SUM(L45:L48)</f>
        <v>363941.38</v>
      </c>
    </row>
    <row r="50" spans="1:12" x14ac:dyDescent="0.3">
      <c r="A50" s="26"/>
      <c r="B50" s="26"/>
      <c r="C50" s="26"/>
      <c r="D50" s="26"/>
      <c r="E50" s="26"/>
      <c r="F50" s="26"/>
      <c r="G50" s="26"/>
      <c r="L50" s="61"/>
    </row>
    <row r="51" spans="1:12" ht="9" customHeight="1" x14ac:dyDescent="0.3">
      <c r="A51" s="26"/>
      <c r="B51" s="26"/>
      <c r="C51" s="26"/>
      <c r="D51" s="26"/>
      <c r="E51" s="26"/>
      <c r="F51" s="26"/>
      <c r="G51" s="26"/>
      <c r="L51" s="61"/>
    </row>
    <row r="52" spans="1:12" ht="15.6" x14ac:dyDescent="0.3">
      <c r="A52" s="26"/>
      <c r="B52" s="35" t="str">
        <f>'Input Sheet'!L20</f>
        <v>Segment</v>
      </c>
      <c r="C52" s="82" t="str">
        <f>'Input Sheet'!M20</f>
        <v>Revenue (₹ Cr)</v>
      </c>
      <c r="D52" s="82"/>
      <c r="E52" s="82"/>
      <c r="F52" s="82" t="str">
        <f>'Input Sheet'!N20</f>
        <v>% Contribution</v>
      </c>
      <c r="G52" s="82"/>
      <c r="H52" s="39"/>
      <c r="I52" s="82" t="s">
        <v>165</v>
      </c>
      <c r="J52" s="82"/>
      <c r="K52" s="82"/>
      <c r="L52" s="82"/>
    </row>
    <row r="53" spans="1:12" ht="1.8" customHeight="1" x14ac:dyDescent="0.3">
      <c r="A53" s="26"/>
      <c r="B53" s="26"/>
      <c r="C53" s="26"/>
      <c r="D53" s="26"/>
      <c r="E53" s="26"/>
      <c r="F53" s="79"/>
      <c r="G53" s="79"/>
      <c r="L53" s="61"/>
    </row>
    <row r="54" spans="1:12" x14ac:dyDescent="0.3">
      <c r="A54" s="26"/>
      <c r="B54" s="48" t="str">
        <f>'Input Sheet'!L21</f>
        <v>Cigarettes</v>
      </c>
      <c r="C54" s="74">
        <f>'Input Sheet'!M21</f>
        <v>32500</v>
      </c>
      <c r="D54" s="74"/>
      <c r="E54" s="74"/>
      <c r="F54" s="80">
        <f>'Input Sheet'!N21</f>
        <v>0.43</v>
      </c>
      <c r="G54" s="81"/>
      <c r="L54" s="61"/>
    </row>
    <row r="55" spans="1:12" x14ac:dyDescent="0.3">
      <c r="A55" s="26"/>
      <c r="B55" s="48" t="str">
        <f>'Input Sheet'!L22</f>
        <v>FMCG (Non-Cig)</v>
      </c>
      <c r="C55" s="74">
        <f>'Input Sheet'!M22</f>
        <v>22000</v>
      </c>
      <c r="D55" s="74"/>
      <c r="E55" s="74"/>
      <c r="F55" s="80">
        <f>'Input Sheet'!N22</f>
        <v>0.28999999999999998</v>
      </c>
      <c r="G55" s="81"/>
      <c r="L55" s="61"/>
    </row>
    <row r="56" spans="1:12" x14ac:dyDescent="0.3">
      <c r="A56" s="26"/>
      <c r="B56" s="48" t="str">
        <f>'Input Sheet'!L23</f>
        <v>Agri Business</v>
      </c>
      <c r="C56" s="74">
        <f>'Input Sheet'!M23</f>
        <v>15000</v>
      </c>
      <c r="D56" s="74"/>
      <c r="E56" s="74"/>
      <c r="F56" s="80">
        <f>'Input Sheet'!N23</f>
        <v>0.2</v>
      </c>
      <c r="G56" s="81"/>
      <c r="L56" s="61"/>
    </row>
    <row r="57" spans="1:12" x14ac:dyDescent="0.3">
      <c r="A57" s="26"/>
      <c r="B57" s="48" t="str">
        <f>'Input Sheet'!L24</f>
        <v>Paper &amp; Packaging</v>
      </c>
      <c r="C57" s="74">
        <f>'Input Sheet'!M24</f>
        <v>5000</v>
      </c>
      <c r="D57" s="74"/>
      <c r="E57" s="74"/>
      <c r="F57" s="80">
        <f>'Input Sheet'!N24</f>
        <v>7.0000000000000007E-2</v>
      </c>
      <c r="G57" s="81"/>
      <c r="L57" s="61"/>
    </row>
    <row r="58" spans="1:12" x14ac:dyDescent="0.3">
      <c r="A58" s="26"/>
      <c r="B58" s="27" t="str">
        <f>'Input Sheet'!L25</f>
        <v>Hotels</v>
      </c>
      <c r="C58" s="72">
        <f>'Input Sheet'!M25</f>
        <v>800</v>
      </c>
      <c r="D58" s="72"/>
      <c r="E58" s="72"/>
      <c r="F58" s="77">
        <f>'Input Sheet'!N25</f>
        <v>0.01</v>
      </c>
      <c r="G58" s="78"/>
      <c r="L58" s="61"/>
    </row>
    <row r="59" spans="1:12" ht="15" thickBot="1" x14ac:dyDescent="0.35">
      <c r="A59" s="26"/>
      <c r="B59" s="57" t="str">
        <f>'Input Sheet'!L26</f>
        <v>Total</v>
      </c>
      <c r="C59" s="73">
        <f>'Input Sheet'!M26</f>
        <v>75300</v>
      </c>
      <c r="D59" s="73"/>
      <c r="E59" s="73"/>
      <c r="F59" s="75">
        <f>'Input Sheet'!N26</f>
        <v>1</v>
      </c>
      <c r="G59" s="76"/>
      <c r="L59" s="61"/>
    </row>
    <row r="60" spans="1:12" x14ac:dyDescent="0.3">
      <c r="A60" s="26"/>
      <c r="B60" s="26"/>
      <c r="C60" s="26"/>
      <c r="D60" s="26"/>
      <c r="E60" s="26"/>
      <c r="F60" s="26"/>
      <c r="G60" s="26"/>
      <c r="L60" s="61"/>
    </row>
    <row r="61" spans="1:12" x14ac:dyDescent="0.3">
      <c r="A61" s="26"/>
      <c r="B61" s="26"/>
      <c r="C61" s="26"/>
      <c r="D61" s="26"/>
      <c r="E61" s="26"/>
      <c r="F61" s="26"/>
      <c r="G61" s="26"/>
      <c r="L61" s="61"/>
    </row>
    <row r="62" spans="1:12" x14ac:dyDescent="0.3">
      <c r="A62" s="26"/>
      <c r="B62" s="26"/>
      <c r="C62" s="26"/>
      <c r="D62" s="26"/>
      <c r="E62" s="26"/>
      <c r="F62" s="26"/>
      <c r="G62" s="26"/>
      <c r="L62" s="61"/>
    </row>
    <row r="63" spans="1:12" x14ac:dyDescent="0.3">
      <c r="A63" s="26"/>
      <c r="B63" s="26"/>
      <c r="C63" s="26"/>
      <c r="D63" s="26"/>
      <c r="E63" s="26"/>
      <c r="F63" s="26"/>
      <c r="G63" s="26"/>
      <c r="L63" s="61"/>
    </row>
    <row r="64" spans="1:12" x14ac:dyDescent="0.3">
      <c r="A64" s="26"/>
      <c r="B64" s="26"/>
      <c r="C64" s="26"/>
      <c r="D64" s="26"/>
      <c r="E64" s="26"/>
      <c r="F64" s="26"/>
      <c r="G64" s="26"/>
      <c r="L64" s="61"/>
    </row>
    <row r="65" spans="1:12" ht="11.4" customHeight="1" x14ac:dyDescent="0.3">
      <c r="A65" s="26"/>
      <c r="B65" s="26"/>
      <c r="C65" s="26"/>
      <c r="D65" s="26"/>
      <c r="E65" s="26"/>
      <c r="F65" s="26"/>
      <c r="G65" s="26"/>
      <c r="L65" s="61"/>
    </row>
    <row r="66" spans="1:12" ht="4.2" customHeight="1" x14ac:dyDescent="0.3">
      <c r="A66" s="26"/>
      <c r="B66" s="26"/>
      <c r="C66" s="26"/>
      <c r="D66" s="26"/>
      <c r="E66" s="26"/>
      <c r="F66" s="26"/>
      <c r="G66" s="26"/>
      <c r="L66" s="61"/>
    </row>
    <row r="67" spans="1:12" ht="15.6" x14ac:dyDescent="0.3">
      <c r="A67" s="26"/>
      <c r="B67" s="35" t="s">
        <v>150</v>
      </c>
      <c r="C67" s="62"/>
      <c r="D67" s="62"/>
      <c r="E67" s="62"/>
      <c r="F67" s="62"/>
      <c r="G67" s="62"/>
      <c r="H67" s="23"/>
      <c r="I67" s="23"/>
      <c r="J67" s="23"/>
      <c r="K67" s="23"/>
      <c r="L67" s="23"/>
    </row>
  </sheetData>
  <mergeCells count="55">
    <mergeCell ref="C4:L4"/>
    <mergeCell ref="C28:D28"/>
    <mergeCell ref="F28:G28"/>
    <mergeCell ref="B2:L2"/>
    <mergeCell ref="D41:E41"/>
    <mergeCell ref="C40:D40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C31:D31"/>
    <mergeCell ref="F45:G45"/>
    <mergeCell ref="F46:G46"/>
    <mergeCell ref="F39:G39"/>
    <mergeCell ref="F40:G40"/>
    <mergeCell ref="C39:D39"/>
    <mergeCell ref="C30:D30"/>
    <mergeCell ref="C35:D35"/>
    <mergeCell ref="C36:D36"/>
    <mergeCell ref="C37:D37"/>
    <mergeCell ref="C38:D38"/>
    <mergeCell ref="C32:D32"/>
    <mergeCell ref="C33:D33"/>
    <mergeCell ref="C34:D34"/>
    <mergeCell ref="C52:E52"/>
    <mergeCell ref="C55:E55"/>
    <mergeCell ref="C56:E56"/>
    <mergeCell ref="C57:E57"/>
    <mergeCell ref="I6:L6"/>
    <mergeCell ref="I19:L19"/>
    <mergeCell ref="F52:G52"/>
    <mergeCell ref="I52:L52"/>
    <mergeCell ref="D43:E43"/>
    <mergeCell ref="D44:E44"/>
    <mergeCell ref="D45:E45"/>
    <mergeCell ref="D46:E46"/>
    <mergeCell ref="F41:G41"/>
    <mergeCell ref="F42:G42"/>
    <mergeCell ref="F43:G43"/>
    <mergeCell ref="F44:G44"/>
    <mergeCell ref="F53:G53"/>
    <mergeCell ref="F54:G54"/>
    <mergeCell ref="F55:G55"/>
    <mergeCell ref="F56:G56"/>
    <mergeCell ref="F57:G57"/>
    <mergeCell ref="C58:E58"/>
    <mergeCell ref="C59:E59"/>
    <mergeCell ref="C54:E54"/>
    <mergeCell ref="F59:G59"/>
    <mergeCell ref="F58:G58"/>
  </mergeCells>
  <pageMargins left="0.25" right="0.25" top="0.75" bottom="0.75" header="0.3" footer="0.3"/>
  <pageSetup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E753-A6F6-4D11-88CC-6B1BDF991213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83" zoomScaleNormal="83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I31" sqref="I3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70" t="str">
        <f>IF(B2&lt;&gt;B3, "A NEW VERSION OF THE WORKSHEET IS AVAILABLE", "")</f>
        <v/>
      </c>
      <c r="F1" s="70"/>
      <c r="G1" s="70"/>
      <c r="H1" s="70"/>
      <c r="I1" s="70"/>
      <c r="J1" s="70"/>
      <c r="K1" s="70"/>
    </row>
    <row r="2" spans="1:11" x14ac:dyDescent="0.3">
      <c r="A2" s="1" t="s">
        <v>52</v>
      </c>
      <c r="B2" s="4">
        <v>2.1</v>
      </c>
      <c r="E2" s="71" t="s">
        <v>36</v>
      </c>
      <c r="F2" s="71"/>
      <c r="G2" s="71"/>
      <c r="H2" s="71"/>
      <c r="I2" s="71"/>
      <c r="J2" s="71"/>
      <c r="K2" s="71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1252.9466484734778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293.14999999999998</v>
      </c>
    </row>
    <row r="9" spans="1:11" x14ac:dyDescent="0.3">
      <c r="A9" s="4" t="s">
        <v>70</v>
      </c>
      <c r="B9">
        <v>367301.31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3">
      <c r="A18" s="4" t="s">
        <v>71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3">
      <c r="A19" s="4" t="s">
        <v>72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3">
      <c r="A20" s="4" t="s">
        <v>73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3">
      <c r="A21" s="4" t="s">
        <v>74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3">
      <c r="A22" s="4" t="s">
        <v>75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3">
      <c r="A23" s="4" t="s">
        <v>76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3">
      <c r="A24" s="4" t="s">
        <v>77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3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3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3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3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3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3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3">
      <c r="A31" s="6" t="s">
        <v>61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 x14ac:dyDescent="0.3">
      <c r="A43" s="6" t="s">
        <v>7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 x14ac:dyDescent="0.3">
      <c r="A44" s="6" t="s">
        <v>9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 x14ac:dyDescent="0.3">
      <c r="A45" s="6" t="s">
        <v>10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 x14ac:dyDescent="0.3">
      <c r="A46" s="6" t="s">
        <v>11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 x14ac:dyDescent="0.3">
      <c r="A47" s="6" t="s">
        <v>12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 x14ac:dyDescent="0.3">
      <c r="A48" s="6" t="s">
        <v>13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 x14ac:dyDescent="0.3">
      <c r="A49" s="6" t="s">
        <v>14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 x14ac:dyDescent="0.3">
      <c r="A50" s="6" t="s">
        <v>8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">
      <c r="A59" s="6" t="s">
        <v>62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">
      <c r="A60" s="6" t="s">
        <v>63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">
      <c r="A65" s="6" t="s">
        <v>64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">
      <c r="A67" s="6" t="s">
        <v>69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">
      <c r="A69" s="4" t="s">
        <v>78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">
      <c r="A70" s="4" t="s">
        <v>65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">
      <c r="A71" s="4" t="s">
        <v>66</v>
      </c>
      <c r="C71">
        <v>4026657100</v>
      </c>
    </row>
    <row r="72" spans="1:11" x14ac:dyDescent="0.3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19">
        <v>1207.08</v>
      </c>
      <c r="C93" s="19">
        <v>1214.74</v>
      </c>
      <c r="D93" s="19">
        <v>1220.43</v>
      </c>
      <c r="E93" s="19">
        <v>1225.8599999999999</v>
      </c>
      <c r="F93" s="19">
        <v>1229.22</v>
      </c>
      <c r="G93" s="19">
        <v>1230.8800000000001</v>
      </c>
      <c r="H93" s="19">
        <v>1232.33</v>
      </c>
      <c r="I93" s="19">
        <v>1242.8</v>
      </c>
      <c r="J93" s="19">
        <v>1248.47</v>
      </c>
      <c r="K93" s="19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6"/>
  <sheetViews>
    <sheetView zoomScale="93" workbookViewId="0">
      <pane xSplit="1" ySplit="3" topLeftCell="B16" activePane="bottomRight" state="frozen"/>
      <selection activeCell="C4" sqref="C4"/>
      <selection pane="topRight" activeCell="C4" sqref="C4"/>
      <selection pane="bottomLeft" activeCell="C4" sqref="C4"/>
      <selection pane="bottomRight" activeCell="B26" sqref="B26:K2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 x14ac:dyDescent="0.3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 x14ac:dyDescent="0.3">
      <c r="A6" t="s">
        <v>62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 x14ac:dyDescent="0.3">
      <c r="A7" t="s">
        <v>63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 x14ac:dyDescent="0.3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 x14ac:dyDescent="0.3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 x14ac:dyDescent="0.3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 x14ac:dyDescent="0.3">
      <c r="A13" t="s">
        <v>64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 x14ac:dyDescent="0.3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 x14ac:dyDescent="0.3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 x14ac:dyDescent="0.3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 x14ac:dyDescent="0.3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 x14ac:dyDescent="0.3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 x14ac:dyDescent="0.3">
      <c r="A23" s="2" t="s">
        <v>50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 x14ac:dyDescent="0.3">
      <c r="A24" s="2" t="s">
        <v>51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  <row r="26" spans="1:11" x14ac:dyDescent="0.3">
      <c r="A26" t="s">
        <v>106</v>
      </c>
      <c r="B26" s="31">
        <f>B4+B5</f>
        <v>42679.520000000004</v>
      </c>
      <c r="C26" s="31">
        <f t="shared" ref="C26:K26" si="1">C4+C5</f>
        <v>46412.93</v>
      </c>
      <c r="D26" s="31">
        <f t="shared" si="1"/>
        <v>52510.11</v>
      </c>
      <c r="E26" s="31">
        <f t="shared" si="1"/>
        <v>59140.87</v>
      </c>
      <c r="F26" s="31">
        <f t="shared" si="1"/>
        <v>65273.26</v>
      </c>
      <c r="G26" s="31">
        <f t="shared" si="1"/>
        <v>60347.34</v>
      </c>
      <c r="H26" s="31">
        <f t="shared" si="1"/>
        <v>62455.57</v>
      </c>
      <c r="I26" s="31">
        <f t="shared" si="1"/>
        <v>69155.260000000009</v>
      </c>
      <c r="J26" s="31">
        <f t="shared" si="1"/>
        <v>74507</v>
      </c>
      <c r="K26" s="31">
        <f t="shared" si="1"/>
        <v>70030.05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1"/>
  <sheetViews>
    <sheetView zoomScaleNormal="100" zoomScaleSheetLayoutView="100" zoomScalePageLayoutView="120" workbookViewId="0">
      <pane xSplit="1" ySplit="4" topLeftCell="B41" activePane="bottomRight" state="frozen"/>
      <selection activeCell="I2" sqref="I2"/>
      <selection pane="topRight" activeCell="I2" sqref="I2"/>
      <selection pane="bottomLeft" activeCell="I2" sqref="I2"/>
      <selection pane="bottomRight" activeCell="D51" sqref="B51:K51"/>
    </sheetView>
  </sheetViews>
  <sheetFormatPr defaultColWidth="8.77734375" defaultRowHeight="14.4" x14ac:dyDescent="0.3"/>
  <cols>
    <col min="1" max="1" width="22.3320312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ITC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 t="e">
        <f>SUM(#REF!)</f>
        <v>#REF!</v>
      </c>
      <c r="M4" s="1">
        <f>$K4+M23*K4</f>
        <v>80967.150825148507</v>
      </c>
      <c r="N4" s="1" t="e">
        <f>$K4+N23*L4</f>
        <v>#REF!</v>
      </c>
    </row>
    <row r="5" spans="1:14" x14ac:dyDescent="0.3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 t="e">
        <f>SUM(#REF!)</f>
        <v>#REF!</v>
      </c>
      <c r="M5" s="6" t="e">
        <f t="shared" ref="M5:N5" si="0">M4-M6</f>
        <v>#REF!</v>
      </c>
      <c r="N5" s="6" t="e">
        <f t="shared" si="0"/>
        <v>#REF!</v>
      </c>
    </row>
    <row r="6" spans="1:14" s="2" customFormat="1" x14ac:dyDescent="0.3">
      <c r="A6" s="2" t="s">
        <v>8</v>
      </c>
      <c r="B6" s="1">
        <f>B4-B5</f>
        <v>14531.490000000002</v>
      </c>
      <c r="C6" s="1">
        <f t="shared" ref="C6:K6" si="1">C4-C5</f>
        <v>15469.509999999998</v>
      </c>
      <c r="D6" s="1">
        <f t="shared" si="1"/>
        <v>16520.590000000004</v>
      </c>
      <c r="E6" s="1">
        <f t="shared" si="1"/>
        <v>18537.390000000003</v>
      </c>
      <c r="F6" s="1">
        <f t="shared" si="1"/>
        <v>19343.539999999997</v>
      </c>
      <c r="G6" s="1">
        <f t="shared" si="1"/>
        <v>17064.779999999995</v>
      </c>
      <c r="H6" s="1">
        <f t="shared" si="1"/>
        <v>20623.150000000001</v>
      </c>
      <c r="I6" s="1">
        <f t="shared" si="1"/>
        <v>25704.259999999995</v>
      </c>
      <c r="J6" s="1">
        <f t="shared" si="1"/>
        <v>25187.53</v>
      </c>
      <c r="K6" s="1">
        <f t="shared" si="1"/>
        <v>25839.449999999997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3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48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>
        <f>IF(B15&gt;0,B15/B13,"")</f>
        <v>26.49790200600356</v>
      </c>
      <c r="C14" s="6">
        <f t="shared" ref="C14:K14" si="2">IF(C15&gt;0,C15/C13,"")</f>
        <v>31.019466073955435</v>
      </c>
      <c r="D14" s="6">
        <f t="shared" si="2"/>
        <v>25.932729877918941</v>
      </c>
      <c r="E14" s="6">
        <f t="shared" si="2"/>
        <v>27.125530414148926</v>
      </c>
      <c r="F14" s="6">
        <f t="shared" si="2"/>
        <v>12.925649163771876</v>
      </c>
      <c r="G14" s="6">
        <f t="shared" si="2"/>
        <v>19.155474664525016</v>
      </c>
      <c r="H14" s="6">
        <f t="shared" si="2"/>
        <v>18.995913889045614</v>
      </c>
      <c r="I14" s="6">
        <f t="shared" si="2"/>
        <v>23.279600201337455</v>
      </c>
      <c r="J14" s="6">
        <f t="shared" si="2"/>
        <v>24.502837368601647</v>
      </c>
      <c r="K14" s="6">
        <f t="shared" si="2"/>
        <v>14.757265596692401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49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293.14999999999998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 x14ac:dyDescent="0.3">
      <c r="A19" t="s">
        <v>18</v>
      </c>
      <c r="B19" s="5">
        <f t="shared" ref="B19:L19" si="4">IF(B6&gt;0,B6/B4,0)</f>
        <v>0.37077599822413199</v>
      </c>
      <c r="C19" s="5">
        <f t="shared" ref="C19:K19" si="5">IF(C6&gt;0,C6/C4,0)</f>
        <v>0.36171096811605047</v>
      </c>
      <c r="D19" s="5">
        <f t="shared" si="5"/>
        <v>0.38022998950031928</v>
      </c>
      <c r="E19" s="5">
        <f t="shared" si="5"/>
        <v>0.38348264507056129</v>
      </c>
      <c r="F19" s="5">
        <f t="shared" si="5"/>
        <v>0.39166715599228147</v>
      </c>
      <c r="G19" s="5">
        <f t="shared" si="5"/>
        <v>0.34644058919006154</v>
      </c>
      <c r="H19" s="5">
        <f t="shared" si="5"/>
        <v>0.3400660636555245</v>
      </c>
      <c r="I19" s="5">
        <f t="shared" si="5"/>
        <v>0.36244517162741785</v>
      </c>
      <c r="J19" s="5">
        <f t="shared" si="5"/>
        <v>0.37077595605248426</v>
      </c>
      <c r="K19" s="5">
        <f t="shared" si="5"/>
        <v>0.34304705553418102</v>
      </c>
      <c r="L19" s="5" t="e">
        <f t="shared" si="4"/>
        <v>#REF!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 t="str">
        <f>IF(ISERROR(MAX(IF(J4=0,"",(K4-J4)/J4),IF(K4=0,"",(L4-K4)/K4))),"",MAX(IF(J4=0,"",(K4-J4)/J4),IF(K4=0,"",(L4-K4)/K4)))</f>
        <v/>
      </c>
      <c r="M23" s="16">
        <f>MAX(K23:L23)</f>
        <v>7.4927782346726923E-2</v>
      </c>
      <c r="N23" s="16">
        <f>MIN(H23:L23)</f>
        <v>7.4927782346726923E-2</v>
      </c>
    </row>
    <row r="24" spans="1:14" x14ac:dyDescent="0.3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 t="e">
        <f>L19</f>
        <v>#REF!</v>
      </c>
      <c r="M24" s="16" t="e">
        <f>MAX(K24:L24)</f>
        <v>#REF!</v>
      </c>
      <c r="N24" s="16" t="e">
        <f>MIN(H24:L24)</f>
        <v>#REF!</v>
      </c>
    </row>
    <row r="25" spans="1:14" x14ac:dyDescent="0.3">
      <c r="G25" t="s">
        <v>23</v>
      </c>
      <c r="H25" s="6">
        <f>IF(ISERROR(AVERAGEIF(B14:$L14,"&gt;0")),"",AVERAGEIF(B14:$L14,"&gt;0"))</f>
        <v>22.419236925600089</v>
      </c>
      <c r="I25" s="6">
        <f>IF(ISERROR(AVERAGEIF(E14:$L14,"&gt;0")),"",AVERAGEIF(E14:$L14,"&gt;0"))</f>
        <v>20.106038756874707</v>
      </c>
      <c r="J25" s="6">
        <f>IF(ISERROR(AVERAGEIF(G14:$L14,"&gt;0")),"",AVERAGEIF(G14:$L14,"&gt;0"))</f>
        <v>20.138218344040428</v>
      </c>
      <c r="K25" s="6">
        <f>IF(ISERROR(AVERAGEIF(I14:$L14,"&gt;0")),"",AVERAGEIF(I14:$L14,"&gt;0"))</f>
        <v>20.846567722210501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  <row r="27" spans="1:14" x14ac:dyDescent="0.3">
      <c r="A27" t="s">
        <v>85</v>
      </c>
      <c r="C27" s="21">
        <f>C4/B4-1</f>
        <v>9.1230120355888067E-2</v>
      </c>
      <c r="D27" s="21">
        <f t="shared" ref="D27:K27" si="6">D4/C4-1</f>
        <v>1.5931218960147486E-2</v>
      </c>
      <c r="E27" s="21">
        <f t="shared" si="6"/>
        <v>0.11256062863673999</v>
      </c>
      <c r="F27" s="21">
        <f t="shared" si="6"/>
        <v>2.1682439110972673E-2</v>
      </c>
      <c r="G27" s="21">
        <f t="shared" si="6"/>
        <v>-2.6372963308678443E-3</v>
      </c>
      <c r="H27" s="21">
        <f t="shared" si="6"/>
        <v>0.23117497962237188</v>
      </c>
      <c r="I27" s="21">
        <f t="shared" si="6"/>
        <v>0.1694215175842706</v>
      </c>
      <c r="J27" s="21">
        <f t="shared" si="6"/>
        <v>-4.2119724423754779E-2</v>
      </c>
      <c r="K27" s="21">
        <f t="shared" si="6"/>
        <v>0.10880596078957838</v>
      </c>
    </row>
    <row r="29" spans="1:14" x14ac:dyDescent="0.3">
      <c r="A29" t="s">
        <v>81</v>
      </c>
      <c r="B29">
        <f>'Data Sheet'!B17-'Data Sheet'!B18-'Data Sheet'!B19-'Data Sheet'!B20-'Data Sheet'!B21</f>
        <v>23079.37</v>
      </c>
      <c r="C29">
        <f>'Data Sheet'!C17-'Data Sheet'!C18-'Data Sheet'!C19-'Data Sheet'!C20-'Data Sheet'!C21</f>
        <v>25635.349999999995</v>
      </c>
      <c r="D29">
        <f>'Data Sheet'!D17-'Data Sheet'!D18-'Data Sheet'!D19-'Data Sheet'!D20-'Data Sheet'!D21</f>
        <v>27297.86</v>
      </c>
      <c r="E29">
        <f>'Data Sheet'!E17-'Data Sheet'!E18-'Data Sheet'!E19-'Data Sheet'!E20-'Data Sheet'!E21</f>
        <v>27895.130000000005</v>
      </c>
      <c r="F29">
        <f>'Data Sheet'!F17-'Data Sheet'!F18-'Data Sheet'!F19-'Data Sheet'!F20-'Data Sheet'!F21</f>
        <v>27946.829999999998</v>
      </c>
      <c r="G29">
        <f>'Data Sheet'!G17-'Data Sheet'!G18-'Data Sheet'!G19-'Data Sheet'!G20-'Data Sheet'!G21</f>
        <v>25548.729999999996</v>
      </c>
      <c r="H29">
        <f>'Data Sheet'!H17-'Data Sheet'!H18-'Data Sheet'!H19-'Data Sheet'!H20-'Data Sheet'!H21</f>
        <v>30110.03</v>
      </c>
      <c r="I29">
        <f>'Data Sheet'!I17-'Data Sheet'!I18-'Data Sheet'!I19-'Data Sheet'!I20-'Data Sheet'!I21</f>
        <v>37635.94</v>
      </c>
      <c r="J29">
        <f>'Data Sheet'!J17-'Data Sheet'!J18-'Data Sheet'!J19-'Data Sheet'!J20-'Data Sheet'!J21</f>
        <v>37078.94</v>
      </c>
      <c r="K29">
        <f>'Data Sheet'!K17-'Data Sheet'!K18-'Data Sheet'!K19-'Data Sheet'!K20-'Data Sheet'!K21</f>
        <v>38572.61</v>
      </c>
    </row>
    <row r="30" spans="1:14" x14ac:dyDescent="0.3">
      <c r="A30" t="s">
        <v>87</v>
      </c>
      <c r="B30" s="21">
        <f>B29/B4</f>
        <v>0.58887811574271343</v>
      </c>
      <c r="C30" s="21">
        <f t="shared" ref="C30:K30" si="7">C29/C4</f>
        <v>0.59941053507795616</v>
      </c>
      <c r="D30" s="21">
        <f t="shared" si="7"/>
        <v>0.62827447574095019</v>
      </c>
      <c r="E30" s="21">
        <f t="shared" si="7"/>
        <v>0.57706603987870819</v>
      </c>
      <c r="F30" s="21">
        <f t="shared" si="7"/>
        <v>0.565866197454022</v>
      </c>
      <c r="G30" s="21">
        <f t="shared" si="7"/>
        <v>0.51867747924425645</v>
      </c>
      <c r="H30" s="21">
        <f t="shared" si="7"/>
        <v>0.49650026201864172</v>
      </c>
      <c r="I30" s="21">
        <f t="shared" si="7"/>
        <v>0.53068887152009836</v>
      </c>
      <c r="J30" s="21">
        <f t="shared" si="7"/>
        <v>0.54582483585777175</v>
      </c>
      <c r="K30" s="21">
        <f t="shared" si="7"/>
        <v>0.51209372818571242</v>
      </c>
    </row>
    <row r="32" spans="1:14" x14ac:dyDescent="0.3">
      <c r="A32" t="s">
        <v>88</v>
      </c>
      <c r="B32" s="21">
        <f>B6/B4</f>
        <v>0.37077599822413199</v>
      </c>
      <c r="C32" s="21">
        <f t="shared" ref="C32:K32" si="8">C6/C4</f>
        <v>0.36171096811605047</v>
      </c>
      <c r="D32" s="21">
        <f t="shared" si="8"/>
        <v>0.38022998950031928</v>
      </c>
      <c r="E32" s="21">
        <f t="shared" si="8"/>
        <v>0.38348264507056129</v>
      </c>
      <c r="F32" s="21">
        <f t="shared" si="8"/>
        <v>0.39166715599228147</v>
      </c>
      <c r="G32" s="21">
        <f t="shared" si="8"/>
        <v>0.34644058919006154</v>
      </c>
      <c r="H32" s="21">
        <f t="shared" si="8"/>
        <v>0.3400660636555245</v>
      </c>
      <c r="I32" s="21">
        <f t="shared" si="8"/>
        <v>0.36244517162741785</v>
      </c>
      <c r="J32" s="21">
        <f t="shared" si="8"/>
        <v>0.37077595605248426</v>
      </c>
      <c r="K32" s="21">
        <f t="shared" si="8"/>
        <v>0.34304705553418102</v>
      </c>
    </row>
    <row r="34" spans="1:11" x14ac:dyDescent="0.3">
      <c r="A34" t="s">
        <v>89</v>
      </c>
      <c r="B34" s="21">
        <f>(B6-B8)/B4</f>
        <v>0.34328576422289192</v>
      </c>
      <c r="C34" s="21">
        <f t="shared" ref="C34:K34" si="9">(C6-C8)/C4</f>
        <v>0.33475621732339428</v>
      </c>
      <c r="D34" s="21">
        <f t="shared" si="9"/>
        <v>0.35177636094229231</v>
      </c>
      <c r="E34" s="21">
        <f t="shared" si="9"/>
        <v>0.35459099975630737</v>
      </c>
      <c r="F34" s="21">
        <f t="shared" si="9"/>
        <v>0.35836108990700111</v>
      </c>
      <c r="G34" s="21">
        <f t="shared" si="9"/>
        <v>0.31303264785326884</v>
      </c>
      <c r="H34" s="21">
        <f t="shared" si="9"/>
        <v>0.3114994358931571</v>
      </c>
      <c r="I34" s="21">
        <f t="shared" si="9"/>
        <v>0.33693706752616326</v>
      </c>
      <c r="J34" s="21">
        <f t="shared" si="9"/>
        <v>0.34842932499793172</v>
      </c>
      <c r="K34" s="21">
        <f t="shared" si="9"/>
        <v>0.3211903508261848</v>
      </c>
    </row>
    <row r="36" spans="1:11" x14ac:dyDescent="0.3">
      <c r="A36" t="s">
        <v>90</v>
      </c>
      <c r="B36" s="21">
        <f>B12/B4</f>
        <v>0.23842687684507849</v>
      </c>
      <c r="C36" s="21">
        <f t="shared" ref="C36:K36" si="10">C12/C4</f>
        <v>0.2405896052151629</v>
      </c>
      <c r="D36" s="21">
        <f t="shared" si="10"/>
        <v>0.25941254263049918</v>
      </c>
      <c r="E36" s="21">
        <f t="shared" si="10"/>
        <v>0.26049729848707825</v>
      </c>
      <c r="F36" s="21">
        <f t="shared" si="10"/>
        <v>0.30991987883622846</v>
      </c>
      <c r="G36" s="21">
        <f t="shared" si="10"/>
        <v>0.26719186640802561</v>
      </c>
      <c r="H36" s="21">
        <f t="shared" si="10"/>
        <v>0.25134430898478244</v>
      </c>
      <c r="I36" s="21">
        <f t="shared" si="10"/>
        <v>0.27061368436652333</v>
      </c>
      <c r="J36" s="21">
        <f t="shared" si="10"/>
        <v>0.30116584334261615</v>
      </c>
      <c r="K36" s="21">
        <f t="shared" si="10"/>
        <v>0.46129964497060272</v>
      </c>
    </row>
    <row r="38" spans="1:11" x14ac:dyDescent="0.3">
      <c r="A38" t="s">
        <v>91</v>
      </c>
      <c r="C38" s="21">
        <f>C13/B13-1</f>
        <v>9.4184897523143629E-2</v>
      </c>
      <c r="D38" s="21">
        <f t="shared" ref="D38:K38" si="11">D13/C13-1</f>
        <v>9.030718716286712E-2</v>
      </c>
      <c r="E38" s="21">
        <f t="shared" si="11"/>
        <v>0.11226415363943576</v>
      </c>
      <c r="F38" s="21">
        <f t="shared" si="11"/>
        <v>0.21219753037533184</v>
      </c>
      <c r="G38" s="21">
        <f t="shared" si="11"/>
        <v>-0.14130125821657724</v>
      </c>
      <c r="H38" s="21">
        <f t="shared" si="11"/>
        <v>0.15678939252669122</v>
      </c>
      <c r="I38" s="21">
        <f t="shared" si="11"/>
        <v>0.24846840219768396</v>
      </c>
      <c r="J38" s="21">
        <f t="shared" si="11"/>
        <v>6.1183099651693551E-2</v>
      </c>
      <c r="K38" s="21">
        <f t="shared" si="11"/>
        <v>0.69438246108164581</v>
      </c>
    </row>
    <row r="40" spans="1:11" x14ac:dyDescent="0.3">
      <c r="A40" t="s">
        <v>93</v>
      </c>
      <c r="B40" s="31">
        <f>B13*B18</f>
        <v>5.666666666666667</v>
      </c>
      <c r="C40" s="31">
        <f t="shared" ref="C40:K40" si="12">C13*C18</f>
        <v>4.7500041161071502</v>
      </c>
      <c r="D40" s="31">
        <f t="shared" si="12"/>
        <v>5.1499963127750057</v>
      </c>
      <c r="E40" s="31">
        <f t="shared" si="12"/>
        <v>5.7500040787691908</v>
      </c>
      <c r="F40" s="31">
        <f t="shared" si="12"/>
        <v>10.149997559427931</v>
      </c>
      <c r="G40" s="31">
        <f t="shared" si="12"/>
        <v>10.749999999999998</v>
      </c>
      <c r="H40" s="31">
        <f t="shared" si="12"/>
        <v>11.500004057354767</v>
      </c>
      <c r="I40" s="31">
        <f t="shared" si="12"/>
        <v>15.500000000000004</v>
      </c>
      <c r="J40" s="31">
        <f t="shared" si="12"/>
        <v>13.749997997549</v>
      </c>
      <c r="K40" s="31">
        <f t="shared" si="12"/>
        <v>14.349997203154841</v>
      </c>
    </row>
    <row r="41" spans="1:11" x14ac:dyDescent="0.3">
      <c r="A41" t="s">
        <v>94</v>
      </c>
      <c r="C41" s="21">
        <f>C40/B40-1</f>
        <v>-0.16176397951050292</v>
      </c>
      <c r="D41" s="21">
        <f t="shared" ref="D41:K41" si="13">D40/C40-1</f>
        <v>8.4208810537972356E-2</v>
      </c>
      <c r="E41" s="21">
        <f t="shared" si="13"/>
        <v>0.11650644574362401</v>
      </c>
      <c r="F41" s="21">
        <f t="shared" si="13"/>
        <v>0.76521571469921024</v>
      </c>
      <c r="G41" s="21">
        <f t="shared" si="13"/>
        <v>5.9113555156941722E-2</v>
      </c>
      <c r="H41" s="21">
        <f t="shared" si="13"/>
        <v>6.9767819288815591E-2</v>
      </c>
      <c r="I41" s="21">
        <f t="shared" si="13"/>
        <v>0.34782561142550739</v>
      </c>
      <c r="J41" s="21">
        <f t="shared" si="13"/>
        <v>-0.1129033549968389</v>
      </c>
      <c r="K41" s="21">
        <f t="shared" si="13"/>
        <v>4.3636312217121276E-2</v>
      </c>
    </row>
    <row r="43" spans="1:11" x14ac:dyDescent="0.3">
      <c r="A43" t="s">
        <v>99</v>
      </c>
      <c r="B43" s="31">
        <f>'Data Sheet'!B93*'Data Sheet'!B90</f>
        <v>247608.32039999997</v>
      </c>
      <c r="C43" s="31">
        <f>'Data Sheet'!C93*'Data Sheet'!C90</f>
        <v>319172.935</v>
      </c>
      <c r="D43" s="31">
        <f>'Data Sheet'!D93*'Data Sheet'!D90</f>
        <v>292292.98500000004</v>
      </c>
      <c r="E43" s="31">
        <f>'Data Sheet'!E93*'Data Sheet'!E90</f>
        <v>341573.63039999997</v>
      </c>
      <c r="F43" s="31">
        <f>'Data Sheet'!F93*'Data Sheet'!F90</f>
        <v>197842.959</v>
      </c>
      <c r="G43" s="31">
        <f>'Data Sheet'!G93*'Data Sheet'!G90</f>
        <v>252108.84160000001</v>
      </c>
      <c r="H43" s="31">
        <f>'Data Sheet'!H93*'Data Sheet'!H90</f>
        <v>289548.25679999997</v>
      </c>
      <c r="I43" s="31">
        <f>'Data Sheet'!I93*'Data Sheet'!I90</f>
        <v>446774.17200000002</v>
      </c>
      <c r="J43" s="31">
        <f>'Data Sheet'!J93*'Data Sheet'!J90</f>
        <v>501298.15909999999</v>
      </c>
      <c r="K43" s="31">
        <f>'Data Sheet'!K93*'Data Sheet'!K90</f>
        <v>512765.24750000006</v>
      </c>
    </row>
    <row r="44" spans="1:11" x14ac:dyDescent="0.3">
      <c r="A44" t="s">
        <v>100</v>
      </c>
      <c r="B44">
        <f>'Balance Sheet'!B6</f>
        <v>83.78</v>
      </c>
      <c r="C44">
        <f>'Balance Sheet'!C6</f>
        <v>45.72</v>
      </c>
      <c r="D44">
        <f>'Balance Sheet'!D6</f>
        <v>35.92</v>
      </c>
      <c r="E44">
        <f>'Balance Sheet'!E6</f>
        <v>13.44</v>
      </c>
      <c r="F44">
        <f>'Balance Sheet'!F6</f>
        <v>277.45</v>
      </c>
      <c r="G44">
        <f>'Balance Sheet'!G6</f>
        <v>270.83</v>
      </c>
      <c r="H44">
        <f>'Balance Sheet'!H6</f>
        <v>249.44</v>
      </c>
      <c r="I44">
        <f>'Balance Sheet'!I6</f>
        <v>306.04000000000002</v>
      </c>
      <c r="J44">
        <f>'Balance Sheet'!J6</f>
        <v>303.43</v>
      </c>
      <c r="K44">
        <f>'Balance Sheet'!K6</f>
        <v>284.54000000000002</v>
      </c>
    </row>
    <row r="45" spans="1:11" x14ac:dyDescent="0.3">
      <c r="A45" t="s">
        <v>101</v>
      </c>
      <c r="B45">
        <f>'Data Sheet'!B69</f>
        <v>6063.3</v>
      </c>
      <c r="C45">
        <f>'Data Sheet'!C69</f>
        <v>2967.4</v>
      </c>
      <c r="D45">
        <f>'Data Sheet'!D69</f>
        <v>2899.6</v>
      </c>
      <c r="E45">
        <f>'Data Sheet'!E69</f>
        <v>4152.03</v>
      </c>
      <c r="F45">
        <f>'Data Sheet'!F69</f>
        <v>7277.34</v>
      </c>
      <c r="G45">
        <f>'Data Sheet'!G69</f>
        <v>4659.0200000000004</v>
      </c>
      <c r="H45">
        <f>'Data Sheet'!H69</f>
        <v>4654.42</v>
      </c>
      <c r="I45">
        <f>'Data Sheet'!I69</f>
        <v>4880.1899999999996</v>
      </c>
      <c r="J45">
        <f>'Data Sheet'!J69</f>
        <v>7217.68</v>
      </c>
      <c r="K45">
        <f>'Data Sheet'!K69</f>
        <v>4012.36</v>
      </c>
    </row>
    <row r="46" spans="1:11" x14ac:dyDescent="0.3">
      <c r="A46" t="s">
        <v>102</v>
      </c>
      <c r="B46" s="31">
        <f>B43+B44-B45</f>
        <v>241628.80039999998</v>
      </c>
      <c r="C46" s="31">
        <f t="shared" ref="C46:K46" si="14">C43+C44-C45</f>
        <v>316251.25499999995</v>
      </c>
      <c r="D46" s="31">
        <f t="shared" si="14"/>
        <v>289429.30500000005</v>
      </c>
      <c r="E46" s="31">
        <f t="shared" si="14"/>
        <v>337435.04039999994</v>
      </c>
      <c r="F46" s="31">
        <f t="shared" si="14"/>
        <v>190843.06900000002</v>
      </c>
      <c r="G46" s="31">
        <f t="shared" si="14"/>
        <v>247720.65160000001</v>
      </c>
      <c r="H46" s="31">
        <f t="shared" si="14"/>
        <v>285143.27679999999</v>
      </c>
      <c r="I46" s="31">
        <f t="shared" si="14"/>
        <v>442200.022</v>
      </c>
      <c r="J46" s="31">
        <f t="shared" si="14"/>
        <v>494383.90909999999</v>
      </c>
      <c r="K46" s="31">
        <f t="shared" si="14"/>
        <v>509037.42750000005</v>
      </c>
    </row>
    <row r="48" spans="1:11" x14ac:dyDescent="0.3">
      <c r="A48" t="s">
        <v>103</v>
      </c>
      <c r="B48" s="30">
        <f>B46/B6</f>
        <v>16.627943892883657</v>
      </c>
      <c r="C48" s="30">
        <f t="shared" ref="C48:K48" si="15">C46/C6</f>
        <v>20.443521158718021</v>
      </c>
      <c r="D48" s="30">
        <f t="shared" si="15"/>
        <v>17.519308027134624</v>
      </c>
      <c r="E48" s="30">
        <f t="shared" si="15"/>
        <v>18.202942291228695</v>
      </c>
      <c r="F48" s="30">
        <f t="shared" si="15"/>
        <v>9.8659846646477352</v>
      </c>
      <c r="G48" s="30">
        <f t="shared" si="15"/>
        <v>14.516486681926171</v>
      </c>
      <c r="H48" s="30">
        <f t="shared" si="15"/>
        <v>13.826368755500493</v>
      </c>
      <c r="I48" s="30">
        <f t="shared" si="15"/>
        <v>17.203374926957636</v>
      </c>
      <c r="J48" s="30">
        <f t="shared" si="15"/>
        <v>19.628121896033473</v>
      </c>
      <c r="K48" s="30">
        <f t="shared" si="15"/>
        <v>19.700010158884965</v>
      </c>
    </row>
    <row r="49" spans="1:11" x14ac:dyDescent="0.3">
      <c r="A49" t="s">
        <v>104</v>
      </c>
      <c r="B49" s="30">
        <f>B46/B4</f>
        <v>6.1652424952987968</v>
      </c>
      <c r="C49" s="30">
        <f t="shared" ref="C49:K49" si="16">C46/C4</f>
        <v>7.3946458300208562</v>
      </c>
      <c r="D49" s="30">
        <f t="shared" si="16"/>
        <v>6.6613663072102574</v>
      </c>
      <c r="E49" s="30">
        <f t="shared" si="16"/>
        <v>6.9805124579071629</v>
      </c>
      <c r="F49" s="30">
        <f t="shared" si="16"/>
        <v>3.8641821546660409</v>
      </c>
      <c r="G49" s="30">
        <f t="shared" si="16"/>
        <v>5.0291001990561837</v>
      </c>
      <c r="H49" s="30">
        <f t="shared" si="16"/>
        <v>4.7018787973327854</v>
      </c>
      <c r="I49" s="30">
        <f t="shared" si="16"/>
        <v>6.2352801779719771</v>
      </c>
      <c r="J49" s="30">
        <f t="shared" si="16"/>
        <v>7.2776356615165119</v>
      </c>
      <c r="K49" s="30">
        <f t="shared" si="16"/>
        <v>6.7580304789989407</v>
      </c>
    </row>
    <row r="51" spans="1:11" x14ac:dyDescent="0.3">
      <c r="A51" t="s">
        <v>105</v>
      </c>
      <c r="B51" s="30">
        <f>B43/'Balance Sheet'!B26</f>
        <v>5.8015722857239247</v>
      </c>
      <c r="C51" s="30">
        <f>C43/'Balance Sheet'!C26</f>
        <v>6.8768107292515257</v>
      </c>
      <c r="D51" s="30">
        <f>D43/'Balance Sheet'!D26</f>
        <v>5.5664134963724132</v>
      </c>
      <c r="E51" s="30">
        <f>E43/'Balance Sheet'!E26</f>
        <v>5.7755936021908356</v>
      </c>
      <c r="F51" s="30">
        <f>F43/'Balance Sheet'!F26</f>
        <v>3.0309955255796939</v>
      </c>
      <c r="G51" s="30">
        <f>G43/'Balance Sheet'!G26</f>
        <v>4.177629728170289</v>
      </c>
      <c r="H51" s="30">
        <f>H43/'Balance Sheet'!H26</f>
        <v>4.6360677966753006</v>
      </c>
      <c r="I51" s="30">
        <f>I43/'Balance Sheet'!I26</f>
        <v>6.4604510488428497</v>
      </c>
      <c r="J51" s="30">
        <f>J43/'Balance Sheet'!J26</f>
        <v>6.728202170265881</v>
      </c>
      <c r="K51" s="30">
        <f>K43/'Balance Sheet'!K26</f>
        <v>7.3220745594212779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scale="67" orientation="landscape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Input</vt:lpstr>
      <vt:lpstr>Input Sheet</vt:lpstr>
      <vt:lpstr>Teaser</vt:lpstr>
      <vt:lpstr>Data&gt;</vt:lpstr>
      <vt:lpstr>Data Sheet</vt:lpstr>
      <vt:lpstr>Balance Sheet</vt:lpstr>
      <vt:lpstr>Profit &amp; Loss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HP Pavilion</cp:lastModifiedBy>
  <cp:lastPrinted>2026-04-01T18:35:09Z</cp:lastPrinted>
  <dcterms:created xsi:type="dcterms:W3CDTF">2012-08-17T09:55:37Z</dcterms:created>
  <dcterms:modified xsi:type="dcterms:W3CDTF">2026-04-03T08:29:39Z</dcterms:modified>
</cp:coreProperties>
</file>